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\OneDrive\Desktop\Github\Data-Analytics\"/>
    </mc:Choice>
  </mc:AlternateContent>
  <xr:revisionPtr revIDLastSave="0" documentId="13_ncr:1_{17841469-BA70-43F3-9D77-EFDC31139F87}" xr6:coauthVersionLast="47" xr6:coauthVersionMax="47" xr10:uidLastSave="{00000000-0000-0000-0000-000000000000}"/>
  <bookViews>
    <workbookView xWindow="-108" yWindow="-108" windowWidth="23256" windowHeight="12456" xr2:uid="{4335C265-D2FC-494A-9BF6-7E57601B232A}"/>
  </bookViews>
  <sheets>
    <sheet name="Vlookup" sheetId="1" r:id="rId1"/>
    <sheet name="Xlookup" sheetId="2" r:id="rId2"/>
    <sheet name="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" l="1"/>
  <c r="H9" i="3"/>
  <c r="G9" i="3"/>
  <c r="F9" i="3"/>
  <c r="I2" i="2" a="1"/>
  <c r="I2" i="2" s="1"/>
  <c r="L2" i="1"/>
  <c r="K2" i="1"/>
  <c r="J2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<sst xmlns="http://schemas.openxmlformats.org/spreadsheetml/2006/main" count="192" uniqueCount="35">
  <si>
    <t>Employee Name</t>
  </si>
  <si>
    <t>Targets Achieved</t>
  </si>
  <si>
    <t>Attendance %</t>
  </si>
  <si>
    <t>Performance</t>
  </si>
  <si>
    <t>Raj</t>
  </si>
  <si>
    <t>Excellent</t>
  </si>
  <si>
    <t>Sunita</t>
  </si>
  <si>
    <t>Good</t>
  </si>
  <si>
    <t>Manoj</t>
  </si>
  <si>
    <t>Kavita</t>
  </si>
  <si>
    <t>Need Improvement</t>
  </si>
  <si>
    <t>Aman</t>
  </si>
  <si>
    <t>Bharti</t>
  </si>
  <si>
    <t>Rohan</t>
  </si>
  <si>
    <t>Deepa</t>
  </si>
  <si>
    <t>Rohit</t>
  </si>
  <si>
    <t>Simran</t>
  </si>
  <si>
    <t>Vijay</t>
  </si>
  <si>
    <t>Nisha</t>
  </si>
  <si>
    <t>Aakash</t>
  </si>
  <si>
    <t>Bhavna</t>
  </si>
  <si>
    <t>Divya</t>
  </si>
  <si>
    <t>Farhan</t>
  </si>
  <si>
    <t>Suresh</t>
  </si>
  <si>
    <t>Meena</t>
  </si>
  <si>
    <t>Karan</t>
  </si>
  <si>
    <t>Ritu</t>
  </si>
  <si>
    <t>Neel</t>
  </si>
  <si>
    <t>Bhavya</t>
  </si>
  <si>
    <t>Chirag</t>
  </si>
  <si>
    <t>Esha</t>
  </si>
  <si>
    <t>Ramesh</t>
  </si>
  <si>
    <t>Sneha</t>
  </si>
  <si>
    <t>Arjun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</si>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</sst>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1F2328"/>
      <name val="Segoe UI"/>
      <family val="2"/>
    </font>
    <font>
      <sz val="10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9D10-2375-40C0-AC8F-0D927F534CDB}">
  <dimension ref="A1:L28"/>
  <sheetViews>
    <sheetView tabSelected="1" workbookViewId="0"/>
  </sheetViews>
  <sheetFormatPr defaultRowHeight="14.4" x14ac:dyDescent="0.3"/>
  <cols>
    <col min="1" max="1" width="15.33203125" bestFit="1" customWidth="1"/>
    <col min="2" max="2" width="19.77734375" bestFit="1" customWidth="1"/>
    <col min="3" max="3" width="20.77734375" bestFit="1" customWidth="1"/>
    <col min="4" max="4" width="17" bestFit="1" customWidth="1"/>
    <col min="5" max="5" width="17.77734375" bestFit="1" customWidth="1"/>
    <col min="8" max="8" width="15.33203125" bestFit="1" customWidth="1"/>
    <col min="9" max="9" width="19.77734375" bestFit="1" customWidth="1"/>
    <col min="10" max="10" width="20.77734375" bestFit="1" customWidth="1"/>
    <col min="11" max="11" width="17" bestFit="1" customWidth="1"/>
    <col min="12" max="12" width="15.44140625" bestFit="1" customWidth="1"/>
  </cols>
  <sheetData>
    <row r="1" spans="1:12" ht="20.399999999999999" x14ac:dyDescent="0.3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H1" s="1" t="s">
        <v>34</v>
      </c>
      <c r="I1" s="1" t="s">
        <v>0</v>
      </c>
      <c r="J1" s="1" t="s">
        <v>1</v>
      </c>
      <c r="K1" s="1" t="s">
        <v>2</v>
      </c>
      <c r="L1" s="1" t="s">
        <v>3</v>
      </c>
    </row>
    <row r="2" spans="1:12" ht="15" x14ac:dyDescent="0.3">
      <c r="A2" s="4">
        <v>443</v>
      </c>
      <c r="B2" s="2" t="s">
        <v>4</v>
      </c>
      <c r="C2" s="2">
        <v>45</v>
      </c>
      <c r="D2" s="2">
        <v>92</v>
      </c>
      <c r="E2" s="2" t="s">
        <v>5</v>
      </c>
      <c r="H2" s="4">
        <v>443</v>
      </c>
      <c r="I2" s="4" t="str">
        <f>VLOOKUP(H2,A:E,2,0)</f>
        <v>Raj</v>
      </c>
      <c r="J2" s="4">
        <f>VLOOKUP($H$2,$A:$E,COLUMNS($H$1:J1),0)</f>
        <v>45</v>
      </c>
      <c r="K2" s="4">
        <f>VLOOKUP($H$2,$A:$E,COLUMNS($H$1:K1),0)</f>
        <v>92</v>
      </c>
      <c r="L2" s="4" t="str">
        <f>VLOOKUP($H$2,$A:$E,COLUMNS($H$1:L1),0)</f>
        <v>Excellent</v>
      </c>
    </row>
    <row r="3" spans="1:12" ht="15" x14ac:dyDescent="0.3">
      <c r="A3" s="4">
        <v>444</v>
      </c>
      <c r="B3" s="2" t="s">
        <v>6</v>
      </c>
      <c r="C3" s="2">
        <v>38</v>
      </c>
      <c r="D3" s="2">
        <v>85</v>
      </c>
      <c r="E3" s="2" t="s">
        <v>7</v>
      </c>
    </row>
    <row r="4" spans="1:12" ht="15" x14ac:dyDescent="0.3">
      <c r="A4" s="4">
        <v>445</v>
      </c>
      <c r="B4" s="2" t="s">
        <v>8</v>
      </c>
      <c r="C4" s="2">
        <v>50</v>
      </c>
      <c r="D4" s="2">
        <v>95</v>
      </c>
      <c r="E4" s="2" t="s">
        <v>5</v>
      </c>
    </row>
    <row r="5" spans="1:12" ht="15" x14ac:dyDescent="0.3">
      <c r="A5" s="4">
        <v>446</v>
      </c>
      <c r="B5" s="2" t="s">
        <v>9</v>
      </c>
      <c r="C5" s="2">
        <v>30</v>
      </c>
      <c r="D5" s="2">
        <v>70</v>
      </c>
      <c r="E5" s="2" t="s">
        <v>10</v>
      </c>
    </row>
    <row r="6" spans="1:12" ht="15" x14ac:dyDescent="0.3">
      <c r="A6" s="4">
        <v>447</v>
      </c>
      <c r="B6" s="2" t="s">
        <v>11</v>
      </c>
      <c r="C6" s="2">
        <v>68</v>
      </c>
      <c r="D6" s="2">
        <v>100</v>
      </c>
      <c r="E6" s="2" t="s">
        <v>5</v>
      </c>
    </row>
    <row r="7" spans="1:12" ht="15" x14ac:dyDescent="0.3">
      <c r="A7" s="4">
        <v>448</v>
      </c>
      <c r="B7" s="2" t="s">
        <v>12</v>
      </c>
      <c r="C7" s="2">
        <v>44</v>
      </c>
      <c r="D7" s="2">
        <v>94</v>
      </c>
      <c r="E7" s="2" t="s">
        <v>5</v>
      </c>
    </row>
    <row r="8" spans="1:12" ht="15" x14ac:dyDescent="0.3">
      <c r="A8" s="4">
        <v>449</v>
      </c>
      <c r="B8" s="2" t="s">
        <v>13</v>
      </c>
      <c r="C8" s="2">
        <v>70</v>
      </c>
      <c r="D8" s="2">
        <v>92</v>
      </c>
      <c r="E8" s="2" t="s">
        <v>5</v>
      </c>
    </row>
    <row r="9" spans="1:12" ht="15" x14ac:dyDescent="0.3">
      <c r="A9" s="4">
        <v>450</v>
      </c>
      <c r="B9" s="2" t="s">
        <v>14</v>
      </c>
      <c r="C9" s="2">
        <v>23</v>
      </c>
      <c r="D9" s="2">
        <v>91</v>
      </c>
      <c r="E9" s="2" t="s">
        <v>7</v>
      </c>
    </row>
    <row r="10" spans="1:12" ht="15" x14ac:dyDescent="0.3">
      <c r="A10" s="4">
        <v>451</v>
      </c>
      <c r="B10" s="2" t="s">
        <v>15</v>
      </c>
      <c r="C10" s="2">
        <v>31</v>
      </c>
      <c r="D10" s="2">
        <v>54</v>
      </c>
      <c r="E10" s="2" t="s">
        <v>10</v>
      </c>
    </row>
    <row r="11" spans="1:12" ht="15" x14ac:dyDescent="0.3">
      <c r="A11" s="4">
        <v>452</v>
      </c>
      <c r="B11" s="2" t="s">
        <v>16</v>
      </c>
      <c r="C11" s="2">
        <v>64</v>
      </c>
      <c r="D11" s="2">
        <v>34</v>
      </c>
      <c r="E11" s="2" t="s">
        <v>10</v>
      </c>
    </row>
    <row r="12" spans="1:12" ht="15" x14ac:dyDescent="0.3">
      <c r="A12" s="4">
        <v>453</v>
      </c>
      <c r="B12" s="2" t="s">
        <v>17</v>
      </c>
      <c r="C12" s="2">
        <v>66</v>
      </c>
      <c r="D12" s="2">
        <v>85</v>
      </c>
      <c r="E12" s="2" t="s">
        <v>7</v>
      </c>
    </row>
    <row r="13" spans="1:12" ht="15" x14ac:dyDescent="0.3">
      <c r="A13" s="4">
        <v>454</v>
      </c>
      <c r="B13" s="2" t="s">
        <v>18</v>
      </c>
      <c r="C13" s="2">
        <v>22</v>
      </c>
      <c r="D13" s="2">
        <v>98</v>
      </c>
      <c r="E13" s="2" t="s">
        <v>7</v>
      </c>
    </row>
    <row r="14" spans="1:12" ht="15" x14ac:dyDescent="0.3">
      <c r="A14" s="4">
        <v>455</v>
      </c>
      <c r="B14" s="2" t="s">
        <v>19</v>
      </c>
      <c r="C14" s="2">
        <v>66</v>
      </c>
      <c r="D14" s="2">
        <v>20</v>
      </c>
      <c r="E14" s="2" t="s">
        <v>10</v>
      </c>
    </row>
    <row r="15" spans="1:12" ht="15" x14ac:dyDescent="0.3">
      <c r="A15" s="4">
        <v>456</v>
      </c>
      <c r="B15" s="2" t="s">
        <v>20</v>
      </c>
      <c r="C15" s="2">
        <v>50</v>
      </c>
      <c r="D15" s="2">
        <v>57</v>
      </c>
      <c r="E15" s="2" t="s">
        <v>10</v>
      </c>
    </row>
    <row r="16" spans="1:12" ht="15" x14ac:dyDescent="0.3">
      <c r="A16" s="4">
        <v>457</v>
      </c>
      <c r="B16" s="2" t="s">
        <v>21</v>
      </c>
      <c r="C16" s="2">
        <v>38</v>
      </c>
      <c r="D16" s="2">
        <v>50</v>
      </c>
      <c r="E16" s="2" t="s">
        <v>10</v>
      </c>
    </row>
    <row r="17" spans="1:5" ht="15" x14ac:dyDescent="0.3">
      <c r="A17" s="4">
        <v>458</v>
      </c>
      <c r="B17" s="2" t="s">
        <v>22</v>
      </c>
      <c r="C17" s="2">
        <v>39</v>
      </c>
      <c r="D17" s="2">
        <v>95</v>
      </c>
      <c r="E17" s="2" t="s">
        <v>7</v>
      </c>
    </row>
    <row r="18" spans="1:5" ht="15" x14ac:dyDescent="0.3">
      <c r="A18" s="4">
        <v>459</v>
      </c>
      <c r="B18" s="2" t="s">
        <v>23</v>
      </c>
      <c r="C18" s="2">
        <v>58</v>
      </c>
      <c r="D18" s="2">
        <v>71</v>
      </c>
      <c r="E18" s="2" t="s">
        <v>10</v>
      </c>
    </row>
    <row r="19" spans="1:5" ht="15" x14ac:dyDescent="0.3">
      <c r="A19" s="4">
        <v>460</v>
      </c>
      <c r="B19" s="2" t="s">
        <v>24</v>
      </c>
      <c r="C19" s="2">
        <v>37</v>
      </c>
      <c r="D19" s="2">
        <v>62</v>
      </c>
      <c r="E19" s="2" t="s">
        <v>10</v>
      </c>
    </row>
    <row r="20" spans="1:5" ht="15" x14ac:dyDescent="0.3">
      <c r="A20" s="4">
        <v>461</v>
      </c>
      <c r="B20" s="2" t="s">
        <v>25</v>
      </c>
      <c r="C20" s="2">
        <v>41</v>
      </c>
      <c r="D20" s="2">
        <v>75</v>
      </c>
      <c r="E20" s="2" t="s">
        <v>10</v>
      </c>
    </row>
    <row r="21" spans="1:5" ht="15" x14ac:dyDescent="0.3">
      <c r="A21" s="4">
        <v>462</v>
      </c>
      <c r="B21" s="2" t="s">
        <v>26</v>
      </c>
      <c r="C21" s="2">
        <v>51</v>
      </c>
      <c r="D21" s="2">
        <v>34</v>
      </c>
      <c r="E21" s="2" t="s">
        <v>10</v>
      </c>
    </row>
    <row r="22" spans="1:5" ht="15" x14ac:dyDescent="0.3">
      <c r="A22" s="4">
        <v>463</v>
      </c>
      <c r="B22" s="2" t="s">
        <v>27</v>
      </c>
      <c r="C22" s="2">
        <v>67</v>
      </c>
      <c r="D22" s="2">
        <v>44</v>
      </c>
      <c r="E22" s="2" t="s">
        <v>10</v>
      </c>
    </row>
    <row r="23" spans="1:5" ht="15" x14ac:dyDescent="0.3">
      <c r="A23" s="4">
        <v>464</v>
      </c>
      <c r="B23" s="2" t="s">
        <v>28</v>
      </c>
      <c r="C23" s="2">
        <v>43</v>
      </c>
      <c r="D23" s="2">
        <v>75</v>
      </c>
      <c r="E23" s="2" t="s">
        <v>10</v>
      </c>
    </row>
    <row r="24" spans="1:5" ht="15" x14ac:dyDescent="0.3">
      <c r="A24" s="4">
        <v>465</v>
      </c>
      <c r="B24" s="2" t="s">
        <v>29</v>
      </c>
      <c r="C24" s="2">
        <v>33</v>
      </c>
      <c r="D24" s="2">
        <v>95</v>
      </c>
      <c r="E24" s="2" t="s">
        <v>7</v>
      </c>
    </row>
    <row r="25" spans="1:5" ht="15" x14ac:dyDescent="0.3">
      <c r="A25" s="4">
        <v>466</v>
      </c>
      <c r="B25" s="2" t="s">
        <v>30</v>
      </c>
      <c r="C25" s="2">
        <v>68</v>
      </c>
      <c r="D25" s="2">
        <v>93</v>
      </c>
      <c r="E25" s="2" t="s">
        <v>5</v>
      </c>
    </row>
    <row r="26" spans="1:5" ht="15" x14ac:dyDescent="0.3">
      <c r="A26" s="4">
        <v>467</v>
      </c>
      <c r="B26" s="2" t="s">
        <v>31</v>
      </c>
      <c r="C26" s="2">
        <v>30</v>
      </c>
      <c r="D26" s="2">
        <v>63</v>
      </c>
      <c r="E26" s="2" t="s">
        <v>10</v>
      </c>
    </row>
    <row r="27" spans="1:5" ht="15" x14ac:dyDescent="0.3">
      <c r="A27" s="4">
        <v>468</v>
      </c>
      <c r="B27" s="2" t="s">
        <v>32</v>
      </c>
      <c r="C27" s="2">
        <v>66</v>
      </c>
      <c r="D27" s="2">
        <v>90</v>
      </c>
      <c r="E27" s="2" t="s">
        <v>5</v>
      </c>
    </row>
    <row r="28" spans="1:5" ht="15" x14ac:dyDescent="0.3">
      <c r="A28" s="4">
        <v>469</v>
      </c>
      <c r="B28" s="2" t="s">
        <v>33</v>
      </c>
      <c r="C28" s="2">
        <v>27</v>
      </c>
      <c r="D28" s="2">
        <v>35</v>
      </c>
      <c r="E28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FB69-40D2-4F26-8BAC-8D12310BAD41}">
  <dimension ref="A1:L28"/>
  <sheetViews>
    <sheetView topLeftCell="A3" workbookViewId="0">
      <selection sqref="A1:E28"/>
    </sheetView>
  </sheetViews>
  <sheetFormatPr defaultRowHeight="14.4" x14ac:dyDescent="0.3"/>
  <cols>
    <col min="1" max="1" width="15.33203125" bestFit="1" customWidth="1"/>
    <col min="2" max="2" width="19.77734375" bestFit="1" customWidth="1"/>
    <col min="3" max="3" width="20.77734375" bestFit="1" customWidth="1"/>
    <col min="4" max="4" width="17" bestFit="1" customWidth="1"/>
    <col min="5" max="5" width="17.77734375" bestFit="1" customWidth="1"/>
    <col min="8" max="8" width="15.33203125" bestFit="1" customWidth="1"/>
    <col min="9" max="9" width="19.77734375" bestFit="1" customWidth="1"/>
    <col min="10" max="10" width="20.77734375" bestFit="1" customWidth="1"/>
    <col min="11" max="11" width="17" bestFit="1" customWidth="1"/>
    <col min="12" max="12" width="15.44140625" bestFit="1" customWidth="1"/>
  </cols>
  <sheetData>
    <row r="1" spans="1:12" ht="20.399999999999999" x14ac:dyDescent="0.3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H1" s="1" t="s">
        <v>34</v>
      </c>
      <c r="I1" s="1" t="s">
        <v>0</v>
      </c>
      <c r="J1" s="1" t="s">
        <v>1</v>
      </c>
      <c r="K1" s="1" t="s">
        <v>2</v>
      </c>
      <c r="L1" s="1" t="s">
        <v>3</v>
      </c>
    </row>
    <row r="2" spans="1:12" ht="15" x14ac:dyDescent="0.3">
      <c r="A2" s="4">
        <v>443</v>
      </c>
      <c r="B2" s="2" t="s">
        <v>4</v>
      </c>
      <c r="C2" s="2">
        <v>45</v>
      </c>
      <c r="D2" s="2">
        <v>92</v>
      </c>
      <c r="E2" s="2" t="s">
        <v>5</v>
      </c>
      <c r="H2" s="4">
        <v>443</v>
      </c>
      <c r="I2" s="3" t="str" cm="1">
        <f t="array" ref="I2:L2">_xlfn.XLOOKUP($H$2,$A:$A,$B:$E,"Not Found")</f>
        <v>Raj</v>
      </c>
      <c r="J2" s="3">
        <v>45</v>
      </c>
      <c r="K2" s="3">
        <v>92</v>
      </c>
      <c r="L2" s="3" t="str">
        <v>Excellent</v>
      </c>
    </row>
    <row r="3" spans="1:12" ht="15" x14ac:dyDescent="0.3">
      <c r="A3" s="4">
        <v>444</v>
      </c>
      <c r="B3" s="2" t="s">
        <v>6</v>
      </c>
      <c r="C3" s="2">
        <v>38</v>
      </c>
      <c r="D3" s="2">
        <v>85</v>
      </c>
      <c r="E3" s="2" t="s">
        <v>7</v>
      </c>
    </row>
    <row r="4" spans="1:12" ht="15" x14ac:dyDescent="0.3">
      <c r="A4" s="4">
        <v>445</v>
      </c>
      <c r="B4" s="2" t="s">
        <v>8</v>
      </c>
      <c r="C4" s="2">
        <v>50</v>
      </c>
      <c r="D4" s="2">
        <v>95</v>
      </c>
      <c r="E4" s="2" t="s">
        <v>5</v>
      </c>
    </row>
    <row r="5" spans="1:12" ht="15" x14ac:dyDescent="0.3">
      <c r="A5" s="4">
        <v>446</v>
      </c>
      <c r="B5" s="2" t="s">
        <v>9</v>
      </c>
      <c r="C5" s="2">
        <v>30</v>
      </c>
      <c r="D5" s="2">
        <v>70</v>
      </c>
      <c r="E5" s="2" t="s">
        <v>10</v>
      </c>
    </row>
    <row r="6" spans="1:12" ht="15" x14ac:dyDescent="0.3">
      <c r="A6" s="4">
        <v>447</v>
      </c>
      <c r="B6" s="2" t="s">
        <v>11</v>
      </c>
      <c r="C6" s="2">
        <v>68</v>
      </c>
      <c r="D6" s="2">
        <v>100</v>
      </c>
      <c r="E6" s="2" t="s">
        <v>5</v>
      </c>
    </row>
    <row r="7" spans="1:12" ht="15" x14ac:dyDescent="0.3">
      <c r="A7" s="4">
        <v>448</v>
      </c>
      <c r="B7" s="2" t="s">
        <v>12</v>
      </c>
      <c r="C7" s="2">
        <v>44</v>
      </c>
      <c r="D7" s="2">
        <v>94</v>
      </c>
      <c r="E7" s="2" t="s">
        <v>5</v>
      </c>
    </row>
    <row r="8" spans="1:12" ht="15" x14ac:dyDescent="0.3">
      <c r="A8" s="4">
        <v>449</v>
      </c>
      <c r="B8" s="2" t="s">
        <v>13</v>
      </c>
      <c r="C8" s="2">
        <v>70</v>
      </c>
      <c r="D8" s="2">
        <v>92</v>
      </c>
      <c r="E8" s="2" t="s">
        <v>5</v>
      </c>
    </row>
    <row r="9" spans="1:12" ht="15" x14ac:dyDescent="0.3">
      <c r="A9" s="4">
        <v>450</v>
      </c>
      <c r="B9" s="2" t="s">
        <v>14</v>
      </c>
      <c r="C9" s="2">
        <v>23</v>
      </c>
      <c r="D9" s="2">
        <v>91</v>
      </c>
      <c r="E9" s="2" t="s">
        <v>7</v>
      </c>
    </row>
    <row r="10" spans="1:12" ht="15" x14ac:dyDescent="0.3">
      <c r="A10" s="4">
        <v>451</v>
      </c>
      <c r="B10" s="2" t="s">
        <v>15</v>
      </c>
      <c r="C10" s="2">
        <v>31</v>
      </c>
      <c r="D10" s="2">
        <v>54</v>
      </c>
      <c r="E10" s="2" t="s">
        <v>10</v>
      </c>
    </row>
    <row r="11" spans="1:12" ht="15" x14ac:dyDescent="0.3">
      <c r="A11" s="4">
        <v>452</v>
      </c>
      <c r="B11" s="2" t="s">
        <v>16</v>
      </c>
      <c r="C11" s="2">
        <v>64</v>
      </c>
      <c r="D11" s="2">
        <v>34</v>
      </c>
      <c r="E11" s="2" t="s">
        <v>10</v>
      </c>
    </row>
    <row r="12" spans="1:12" ht="15" x14ac:dyDescent="0.3">
      <c r="A12" s="4">
        <v>453</v>
      </c>
      <c r="B12" s="2" t="s">
        <v>17</v>
      </c>
      <c r="C12" s="2">
        <v>66</v>
      </c>
      <c r="D12" s="2">
        <v>85</v>
      </c>
      <c r="E12" s="2" t="s">
        <v>7</v>
      </c>
    </row>
    <row r="13" spans="1:12" ht="15" x14ac:dyDescent="0.3">
      <c r="A13" s="4">
        <v>454</v>
      </c>
      <c r="B13" s="2" t="s">
        <v>18</v>
      </c>
      <c r="C13" s="2">
        <v>22</v>
      </c>
      <c r="D13" s="2">
        <v>98</v>
      </c>
      <c r="E13" s="2" t="s">
        <v>7</v>
      </c>
    </row>
    <row r="14" spans="1:12" ht="15" x14ac:dyDescent="0.3">
      <c r="A14" s="4">
        <v>455</v>
      </c>
      <c r="B14" s="2" t="s">
        <v>19</v>
      </c>
      <c r="C14" s="2">
        <v>66</v>
      </c>
      <c r="D14" s="2">
        <v>20</v>
      </c>
      <c r="E14" s="2" t="s">
        <v>10</v>
      </c>
    </row>
    <row r="15" spans="1:12" ht="15" x14ac:dyDescent="0.3">
      <c r="A15" s="4">
        <v>456</v>
      </c>
      <c r="B15" s="2" t="s">
        <v>20</v>
      </c>
      <c r="C15" s="2">
        <v>50</v>
      </c>
      <c r="D15" s="2">
        <v>57</v>
      </c>
      <c r="E15" s="2" t="s">
        <v>10</v>
      </c>
    </row>
    <row r="16" spans="1:12" ht="15" x14ac:dyDescent="0.3">
      <c r="A16" s="4">
        <v>457</v>
      </c>
      <c r="B16" s="2" t="s">
        <v>21</v>
      </c>
      <c r="C16" s="2">
        <v>38</v>
      </c>
      <c r="D16" s="2">
        <v>50</v>
      </c>
      <c r="E16" s="2" t="s">
        <v>10</v>
      </c>
    </row>
    <row r="17" spans="1:5" ht="15" x14ac:dyDescent="0.3">
      <c r="A17" s="4">
        <v>458</v>
      </c>
      <c r="B17" s="2" t="s">
        <v>22</v>
      </c>
      <c r="C17" s="2">
        <v>39</v>
      </c>
      <c r="D17" s="2">
        <v>95</v>
      </c>
      <c r="E17" s="2" t="s">
        <v>7</v>
      </c>
    </row>
    <row r="18" spans="1:5" ht="15" x14ac:dyDescent="0.3">
      <c r="A18" s="4">
        <v>459</v>
      </c>
      <c r="B18" s="2" t="s">
        <v>23</v>
      </c>
      <c r="C18" s="2">
        <v>58</v>
      </c>
      <c r="D18" s="2">
        <v>71</v>
      </c>
      <c r="E18" s="2" t="s">
        <v>10</v>
      </c>
    </row>
    <row r="19" spans="1:5" ht="15" x14ac:dyDescent="0.3">
      <c r="A19" s="4">
        <v>460</v>
      </c>
      <c r="B19" s="2" t="s">
        <v>24</v>
      </c>
      <c r="C19" s="2">
        <v>37</v>
      </c>
      <c r="D19" s="2">
        <v>62</v>
      </c>
      <c r="E19" s="2" t="s">
        <v>10</v>
      </c>
    </row>
    <row r="20" spans="1:5" ht="15" x14ac:dyDescent="0.3">
      <c r="A20" s="4">
        <v>461</v>
      </c>
      <c r="B20" s="2" t="s">
        <v>25</v>
      </c>
      <c r="C20" s="2">
        <v>41</v>
      </c>
      <c r="D20" s="2">
        <v>75</v>
      </c>
      <c r="E20" s="2" t="s">
        <v>10</v>
      </c>
    </row>
    <row r="21" spans="1:5" ht="15" x14ac:dyDescent="0.3">
      <c r="A21" s="4">
        <v>462</v>
      </c>
      <c r="B21" s="2" t="s">
        <v>26</v>
      </c>
      <c r="C21" s="2">
        <v>51</v>
      </c>
      <c r="D21" s="2">
        <v>34</v>
      </c>
      <c r="E21" s="2" t="s">
        <v>10</v>
      </c>
    </row>
    <row r="22" spans="1:5" ht="15" x14ac:dyDescent="0.3">
      <c r="A22" s="4">
        <v>463</v>
      </c>
      <c r="B22" s="2" t="s">
        <v>27</v>
      </c>
      <c r="C22" s="2">
        <v>67</v>
      </c>
      <c r="D22" s="2">
        <v>44</v>
      </c>
      <c r="E22" s="2" t="s">
        <v>10</v>
      </c>
    </row>
    <row r="23" spans="1:5" ht="15" x14ac:dyDescent="0.3">
      <c r="A23" s="4">
        <v>464</v>
      </c>
      <c r="B23" s="2" t="s">
        <v>28</v>
      </c>
      <c r="C23" s="2">
        <v>43</v>
      </c>
      <c r="D23" s="2">
        <v>75</v>
      </c>
      <c r="E23" s="2" t="s">
        <v>10</v>
      </c>
    </row>
    <row r="24" spans="1:5" ht="15" x14ac:dyDescent="0.3">
      <c r="A24" s="4">
        <v>465</v>
      </c>
      <c r="B24" s="2" t="s">
        <v>29</v>
      </c>
      <c r="C24" s="2">
        <v>33</v>
      </c>
      <c r="D24" s="2">
        <v>95</v>
      </c>
      <c r="E24" s="2" t="s">
        <v>7</v>
      </c>
    </row>
    <row r="25" spans="1:5" ht="15" x14ac:dyDescent="0.3">
      <c r="A25" s="4">
        <v>466</v>
      </c>
      <c r="B25" s="2" t="s">
        <v>30</v>
      </c>
      <c r="C25" s="2">
        <v>68</v>
      </c>
      <c r="D25" s="2">
        <v>93</v>
      </c>
      <c r="E25" s="2" t="s">
        <v>5</v>
      </c>
    </row>
    <row r="26" spans="1:5" ht="15" x14ac:dyDescent="0.3">
      <c r="A26" s="4">
        <v>467</v>
      </c>
      <c r="B26" s="2" t="s">
        <v>31</v>
      </c>
      <c r="C26" s="2">
        <v>30</v>
      </c>
      <c r="D26" s="2">
        <v>63</v>
      </c>
      <c r="E26" s="2" t="s">
        <v>10</v>
      </c>
    </row>
    <row r="27" spans="1:5" ht="15" x14ac:dyDescent="0.3">
      <c r="A27" s="4">
        <v>468</v>
      </c>
      <c r="B27" s="2" t="s">
        <v>32</v>
      </c>
      <c r="C27" s="2">
        <v>66</v>
      </c>
      <c r="D27" s="2">
        <v>90</v>
      </c>
      <c r="E27" s="2" t="s">
        <v>5</v>
      </c>
    </row>
    <row r="28" spans="1:5" ht="15" x14ac:dyDescent="0.3">
      <c r="A28" s="4">
        <v>469</v>
      </c>
      <c r="B28" s="2" t="s">
        <v>33</v>
      </c>
      <c r="C28" s="2">
        <v>27</v>
      </c>
      <c r="D28" s="2">
        <v>35</v>
      </c>
      <c r="E28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AD71-F230-41B6-895F-17667265C7F1}">
  <dimension ref="A1:AB9"/>
  <sheetViews>
    <sheetView workbookViewId="0"/>
  </sheetViews>
  <sheetFormatPr defaultRowHeight="14.4" x14ac:dyDescent="0.3"/>
  <cols>
    <col min="1" max="1" width="20.77734375" bestFit="1" customWidth="1"/>
    <col min="2" max="2" width="8.44140625" bestFit="1" customWidth="1"/>
    <col min="3" max="3" width="6.33203125" bestFit="1" customWidth="1"/>
    <col min="4" max="4" width="8.44140625" bestFit="1" customWidth="1"/>
    <col min="5" max="5" width="17.77734375" bestFit="1" customWidth="1"/>
    <col min="6" max="6" width="19.77734375" bestFit="1" customWidth="1"/>
    <col min="7" max="7" width="20.77734375" bestFit="1" customWidth="1"/>
    <col min="8" max="8" width="17" bestFit="1" customWidth="1"/>
    <col min="9" max="9" width="15.44140625" bestFit="1" customWidth="1"/>
    <col min="10" max="11" width="17.77734375" bestFit="1" customWidth="1"/>
    <col min="12" max="12" width="5.6640625" bestFit="1" customWidth="1"/>
    <col min="13" max="13" width="5.77734375" bestFit="1" customWidth="1"/>
    <col min="14" max="16" width="17.77734375" bestFit="1" customWidth="1"/>
    <col min="17" max="17" width="6.77734375" bestFit="1" customWidth="1"/>
    <col min="18" max="23" width="17.77734375" bestFit="1" customWidth="1"/>
    <col min="24" max="24" width="6.5546875" bestFit="1" customWidth="1"/>
    <col min="25" max="25" width="8.44140625" bestFit="1" customWidth="1"/>
    <col min="26" max="26" width="17.77734375" bestFit="1" customWidth="1"/>
    <col min="27" max="27" width="8.44140625" bestFit="1" customWidth="1"/>
    <col min="28" max="28" width="17.77734375" bestFit="1" customWidth="1"/>
  </cols>
  <sheetData>
    <row r="1" spans="1:28" ht="20.399999999999999" x14ac:dyDescent="0.3">
      <c r="A1" s="1" t="s">
        <v>34</v>
      </c>
      <c r="B1" s="4">
        <v>443</v>
      </c>
      <c r="C1" s="4">
        <v>444</v>
      </c>
      <c r="D1" s="4">
        <v>445</v>
      </c>
      <c r="E1" s="4">
        <v>446</v>
      </c>
      <c r="F1" s="4">
        <v>447</v>
      </c>
      <c r="G1" s="4">
        <v>448</v>
      </c>
      <c r="H1" s="4">
        <v>449</v>
      </c>
      <c r="I1" s="4">
        <v>450</v>
      </c>
      <c r="J1" s="4">
        <v>451</v>
      </c>
      <c r="K1" s="4">
        <v>452</v>
      </c>
      <c r="L1" s="4">
        <v>453</v>
      </c>
      <c r="M1" s="4">
        <v>454</v>
      </c>
      <c r="N1" s="4">
        <v>455</v>
      </c>
      <c r="O1" s="4">
        <v>456</v>
      </c>
      <c r="P1" s="4">
        <v>457</v>
      </c>
      <c r="Q1" s="4">
        <v>458</v>
      </c>
      <c r="R1" s="4">
        <v>459</v>
      </c>
      <c r="S1" s="4">
        <v>460</v>
      </c>
      <c r="T1" s="4">
        <v>461</v>
      </c>
      <c r="U1" s="4">
        <v>462</v>
      </c>
      <c r="V1" s="4">
        <v>463</v>
      </c>
      <c r="W1" s="4">
        <v>464</v>
      </c>
      <c r="X1" s="4">
        <v>465</v>
      </c>
      <c r="Y1" s="4">
        <v>466</v>
      </c>
      <c r="Z1" s="4">
        <v>467</v>
      </c>
      <c r="AA1" s="4">
        <v>468</v>
      </c>
      <c r="AB1" s="4">
        <v>469</v>
      </c>
    </row>
    <row r="2" spans="1:28" ht="20.399999999999999" x14ac:dyDescent="0.3">
      <c r="A2" s="1" t="s">
        <v>0</v>
      </c>
      <c r="B2" s="2" t="s">
        <v>4</v>
      </c>
      <c r="C2" s="2" t="s">
        <v>6</v>
      </c>
      <c r="D2" s="2" t="s">
        <v>8</v>
      </c>
      <c r="E2" s="2" t="s">
        <v>9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</row>
    <row r="3" spans="1:28" ht="20.399999999999999" x14ac:dyDescent="0.3">
      <c r="A3" s="1" t="s">
        <v>1</v>
      </c>
      <c r="B3" s="2">
        <v>45</v>
      </c>
      <c r="C3" s="2">
        <v>38</v>
      </c>
      <c r="D3" s="2">
        <v>50</v>
      </c>
      <c r="E3" s="2">
        <v>30</v>
      </c>
      <c r="F3" s="2">
        <v>68</v>
      </c>
      <c r="G3" s="2">
        <v>44</v>
      </c>
      <c r="H3" s="2">
        <v>70</v>
      </c>
      <c r="I3" s="2">
        <v>23</v>
      </c>
      <c r="J3" s="2">
        <v>31</v>
      </c>
      <c r="K3" s="2">
        <v>64</v>
      </c>
      <c r="L3" s="2">
        <v>66</v>
      </c>
      <c r="M3" s="2">
        <v>22</v>
      </c>
      <c r="N3" s="2">
        <v>66</v>
      </c>
      <c r="O3" s="2">
        <v>50</v>
      </c>
      <c r="P3" s="2">
        <v>38</v>
      </c>
      <c r="Q3" s="2">
        <v>39</v>
      </c>
      <c r="R3" s="2">
        <v>58</v>
      </c>
      <c r="S3" s="2">
        <v>37</v>
      </c>
      <c r="T3" s="2">
        <v>41</v>
      </c>
      <c r="U3" s="2">
        <v>51</v>
      </c>
      <c r="V3" s="2">
        <v>67</v>
      </c>
      <c r="W3" s="2">
        <v>43</v>
      </c>
      <c r="X3" s="2">
        <v>33</v>
      </c>
      <c r="Y3" s="2">
        <v>68</v>
      </c>
      <c r="Z3" s="2">
        <v>30</v>
      </c>
      <c r="AA3" s="2">
        <v>66</v>
      </c>
      <c r="AB3" s="2">
        <v>27</v>
      </c>
    </row>
    <row r="4" spans="1:28" ht="20.399999999999999" x14ac:dyDescent="0.3">
      <c r="A4" s="1" t="s">
        <v>2</v>
      </c>
      <c r="B4" s="2">
        <v>92</v>
      </c>
      <c r="C4" s="2">
        <v>85</v>
      </c>
      <c r="D4" s="2">
        <v>95</v>
      </c>
      <c r="E4" s="2">
        <v>70</v>
      </c>
      <c r="F4" s="2">
        <v>100</v>
      </c>
      <c r="G4" s="2">
        <v>94</v>
      </c>
      <c r="H4" s="2">
        <v>92</v>
      </c>
      <c r="I4" s="2">
        <v>91</v>
      </c>
      <c r="J4" s="2">
        <v>54</v>
      </c>
      <c r="K4" s="2">
        <v>34</v>
      </c>
      <c r="L4" s="2">
        <v>85</v>
      </c>
      <c r="M4" s="2">
        <v>98</v>
      </c>
      <c r="N4" s="2">
        <v>20</v>
      </c>
      <c r="O4" s="2">
        <v>57</v>
      </c>
      <c r="P4" s="2">
        <v>50</v>
      </c>
      <c r="Q4" s="2">
        <v>95</v>
      </c>
      <c r="R4" s="2">
        <v>71</v>
      </c>
      <c r="S4" s="2">
        <v>62</v>
      </c>
      <c r="T4" s="2">
        <v>75</v>
      </c>
      <c r="U4" s="2">
        <v>34</v>
      </c>
      <c r="V4" s="2">
        <v>44</v>
      </c>
      <c r="W4" s="2">
        <v>75</v>
      </c>
      <c r="X4" s="2">
        <v>95</v>
      </c>
      <c r="Y4" s="2">
        <v>93</v>
      </c>
      <c r="Z4" s="2">
        <v>63</v>
      </c>
      <c r="AA4" s="2">
        <v>90</v>
      </c>
      <c r="AB4" s="2">
        <v>35</v>
      </c>
    </row>
    <row r="5" spans="1:28" ht="20.399999999999999" x14ac:dyDescent="0.3">
      <c r="A5" s="1" t="s">
        <v>3</v>
      </c>
      <c r="B5" s="2" t="s">
        <v>5</v>
      </c>
      <c r="C5" s="2" t="s">
        <v>7</v>
      </c>
      <c r="D5" s="2" t="s">
        <v>5</v>
      </c>
      <c r="E5" s="2" t="s">
        <v>10</v>
      </c>
      <c r="F5" s="2" t="s">
        <v>5</v>
      </c>
      <c r="G5" s="2" t="s">
        <v>5</v>
      </c>
      <c r="H5" s="2" t="s">
        <v>5</v>
      </c>
      <c r="I5" s="2" t="s">
        <v>7</v>
      </c>
      <c r="J5" s="2" t="s">
        <v>10</v>
      </c>
      <c r="K5" s="2" t="s">
        <v>10</v>
      </c>
      <c r="L5" s="2" t="s">
        <v>7</v>
      </c>
      <c r="M5" s="2" t="s">
        <v>7</v>
      </c>
      <c r="N5" s="2" t="s">
        <v>10</v>
      </c>
      <c r="O5" s="2" t="s">
        <v>10</v>
      </c>
      <c r="P5" s="2" t="s">
        <v>10</v>
      </c>
      <c r="Q5" s="2" t="s">
        <v>7</v>
      </c>
      <c r="R5" s="2" t="s">
        <v>10</v>
      </c>
      <c r="S5" s="2" t="s">
        <v>10</v>
      </c>
      <c r="T5" s="2" t="s">
        <v>10</v>
      </c>
      <c r="U5" s="2" t="s">
        <v>10</v>
      </c>
      <c r="V5" s="2" t="s">
        <v>10</v>
      </c>
      <c r="W5" s="2" t="s">
        <v>10</v>
      </c>
      <c r="X5" s="2" t="s">
        <v>7</v>
      </c>
      <c r="Y5" s="2" t="s">
        <v>5</v>
      </c>
      <c r="Z5" s="2" t="s">
        <v>10</v>
      </c>
      <c r="AA5" s="2" t="s">
        <v>5</v>
      </c>
      <c r="AB5" s="2" t="s">
        <v>10</v>
      </c>
    </row>
    <row r="8" spans="1:28" ht="20.399999999999999" x14ac:dyDescent="0.3">
      <c r="E8" s="1" t="s">
        <v>34</v>
      </c>
      <c r="F8" s="1" t="s">
        <v>0</v>
      </c>
      <c r="G8" s="1" t="s">
        <v>1</v>
      </c>
      <c r="H8" s="1" t="s">
        <v>2</v>
      </c>
      <c r="I8" s="1" t="s">
        <v>3</v>
      </c>
    </row>
    <row r="9" spans="1:28" x14ac:dyDescent="0.3">
      <c r="E9" s="4">
        <v>443</v>
      </c>
      <c r="F9" s="4" t="str">
        <f>HLOOKUP($E$9,$1:$5,2,0)</f>
        <v>Raj</v>
      </c>
      <c r="G9" s="4">
        <f>HLOOKUP($E$9,$1:$5,COLUMNS($E$8:G8),0)</f>
        <v>45</v>
      </c>
      <c r="H9" s="4">
        <f>HLOOKUP($E$9,$1:$5,COLUMNS($E$8:H8),0)</f>
        <v>92</v>
      </c>
      <c r="I9" s="4" t="str">
        <f>HLOOKUP($E$9,$1:$5,COLUMNS($E$8:I8),0)</f>
        <v>Excellent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Xlookup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Shahista Shaikh</dc:creator>
  <cp:lastModifiedBy>Shahista Shaikh</cp:lastModifiedBy>
  <dcterms:created xsi:type="dcterms:W3CDTF">2026-01-31T15:48:50Z</dcterms:created>
  <dcterms:modified xsi:type="dcterms:W3CDTF">2026-01-31T15:58:09Z</dcterms:modified>
</cp:coreProperties>
</file>