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hi\OneDrive\Desktop\Github\Data-Analytics\"/>
    </mc:Choice>
  </mc:AlternateContent>
  <xr:revisionPtr revIDLastSave="0" documentId="13_ncr:1_{2A60A802-473B-49C6-8BCE-61CCD18BC460}" xr6:coauthVersionLast="47" xr6:coauthVersionMax="47" xr10:uidLastSave="{00000000-0000-0000-0000-000000000000}"/>
  <bookViews>
    <workbookView xWindow="-108" yWindow="-108" windowWidth="23256" windowHeight="12456" xr2:uid="{CEF920E1-8CFA-453A-9796-DE702A9EEE79}"/>
  </bookViews>
  <sheets>
    <sheet name="Split Entry" sheetId="2" r:id="rId1"/>
    <sheet name="Data Entry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9" i="2" l="1"/>
  <c r="N19" i="2"/>
  <c r="M19" i="2"/>
  <c r="L19" i="2"/>
  <c r="O18" i="2"/>
  <c r="N18" i="2"/>
  <c r="M18" i="2"/>
  <c r="L18" i="2"/>
  <c r="O17" i="2"/>
  <c r="N17" i="2"/>
  <c r="M17" i="2"/>
  <c r="L17" i="2"/>
  <c r="O16" i="2"/>
  <c r="N16" i="2"/>
  <c r="M16" i="2"/>
  <c r="L16" i="2"/>
  <c r="O15" i="2"/>
  <c r="N15" i="2"/>
  <c r="M15" i="2"/>
  <c r="L15" i="2"/>
  <c r="O12" i="2"/>
  <c r="N12" i="2"/>
  <c r="M12" i="2"/>
  <c r="L12" i="2"/>
  <c r="D3" i="2"/>
  <c r="D4" i="2"/>
  <c r="D5" i="2"/>
  <c r="D6" i="2"/>
  <c r="D7" i="2"/>
  <c r="D8" i="2"/>
  <c r="D9" i="2"/>
  <c r="D10" i="2"/>
  <c r="D11" i="2"/>
  <c r="D2" i="2"/>
  <c r="I12" i="2"/>
  <c r="H12" i="2"/>
  <c r="A3" i="2"/>
  <c r="A4" i="2" s="1"/>
  <c r="A5" i="2" s="1"/>
  <c r="A6" i="2" s="1"/>
  <c r="A7" i="2" s="1"/>
  <c r="A8" i="2" s="1"/>
  <c r="A9" i="2" s="1"/>
  <c r="A10" i="2" s="1"/>
  <c r="A11" i="2" s="1"/>
  <c r="D12" i="1"/>
  <c r="C12" i="1"/>
  <c r="A3" i="1"/>
  <c r="A4" i="1" s="1"/>
  <c r="A5" i="1" s="1"/>
  <c r="A6" i="1" s="1"/>
  <c r="A7" i="1" s="1"/>
  <c r="A8" i="1" s="1"/>
  <c r="A9" i="1" s="1"/>
  <c r="A10" i="1" s="1"/>
  <c r="A11" i="1" s="1"/>
</calcChain>
</file>

<file path=xl/sharedStrings.xml><?xml version="1.0" encoding="utf-8"?>
<sst xmlns="http://schemas.openxmlformats.org/spreadsheetml/2006/main" count="151" uniqueCount="65">
  <si>
    <t>Sr. No</t>
  </si>
  <si>
    <t>Name</t>
  </si>
  <si>
    <t>Age</t>
  </si>
  <si>
    <t>Salary</t>
  </si>
  <si>
    <t>E-Mail Id</t>
  </si>
  <si>
    <t>Jay</t>
  </si>
  <si>
    <t>Jyoti</t>
  </si>
  <si>
    <t>jiya</t>
  </si>
  <si>
    <t>Hetvi</t>
  </si>
  <si>
    <t>Sanjay</t>
  </si>
  <si>
    <t>Pavan</t>
  </si>
  <si>
    <t>Shivam</t>
  </si>
  <si>
    <t>Om</t>
  </si>
  <si>
    <t>Ravindra</t>
  </si>
  <si>
    <t>Prithvi</t>
  </si>
  <si>
    <t>Jay@gmail.com</t>
  </si>
  <si>
    <t>Jyoti@gmail.com</t>
  </si>
  <si>
    <t>jiya@gmail.com</t>
  </si>
  <si>
    <t>Hetvi@gmail.com</t>
  </si>
  <si>
    <t>Sanjay@gmail.com</t>
  </si>
  <si>
    <t>Pavan@gmail.com</t>
  </si>
  <si>
    <t>Shivam@gmail.com</t>
  </si>
  <si>
    <t>Om@gmail.com</t>
  </si>
  <si>
    <t>Ravindra@gmail.com</t>
  </si>
  <si>
    <t>Prithvi@gmail.com</t>
  </si>
  <si>
    <t>TOTAL</t>
  </si>
  <si>
    <t>Last Name</t>
  </si>
  <si>
    <t>First Name</t>
  </si>
  <si>
    <t>Number</t>
  </si>
  <si>
    <t>Solanki</t>
  </si>
  <si>
    <t>Parmar</t>
  </si>
  <si>
    <t>Patel</t>
  </si>
  <si>
    <t>Makwana</t>
  </si>
  <si>
    <t>Parik</t>
  </si>
  <si>
    <t>Sing</t>
  </si>
  <si>
    <t>Gujjar</t>
  </si>
  <si>
    <t>Jay Solanki</t>
  </si>
  <si>
    <t>Jyoti Parmar</t>
  </si>
  <si>
    <t>jiya Patel</t>
  </si>
  <si>
    <t>Hetvi Makwana</t>
  </si>
  <si>
    <t>Sanjay Parik</t>
  </si>
  <si>
    <t>Pavan Sing</t>
  </si>
  <si>
    <t>Shivam Gujjar</t>
  </si>
  <si>
    <t>Om Patel</t>
  </si>
  <si>
    <t>Ravindra Solanki</t>
  </si>
  <si>
    <t>Prithvi Parmar</t>
  </si>
  <si>
    <t>Split First Name</t>
  </si>
  <si>
    <t>Split Last Name</t>
  </si>
  <si>
    <t>Full Name With Formula</t>
  </si>
  <si>
    <t>Full Name as Value</t>
  </si>
  <si>
    <t>Email</t>
  </si>
  <si>
    <t>user</t>
  </si>
  <si>
    <t>Dom</t>
  </si>
  <si>
    <t>top level dom</t>
  </si>
  <si>
    <t>gmail</t>
  </si>
  <si>
    <t>com</t>
  </si>
  <si>
    <t>Sci</t>
  </si>
  <si>
    <t>Mat</t>
  </si>
  <si>
    <t>Eng</t>
  </si>
  <si>
    <t>Guj</t>
  </si>
  <si>
    <t>Sum</t>
  </si>
  <si>
    <t>Count</t>
  </si>
  <si>
    <t>Min</t>
  </si>
  <si>
    <t>Max</t>
  </si>
  <si>
    <t>Avarage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</si>
</sst>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2" borderId="1" xfId="0" applyFill="1" applyBorder="1"/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98213-2750-4274-BA27-7A1AF65C4A6C}">
  <dimension ref="A1:O27"/>
  <sheetViews>
    <sheetView tabSelected="1" workbookViewId="0">
      <selection activeCell="L15" sqref="L15"/>
    </sheetView>
  </sheetViews>
  <sheetFormatPr defaultRowHeight="14.4" x14ac:dyDescent="0.3"/>
  <cols>
    <col min="1" max="1" width="6.109375" bestFit="1" customWidth="1"/>
    <col min="2" max="2" width="9.88671875" bestFit="1" customWidth="1"/>
    <col min="3" max="3" width="9.77734375" bestFit="1" customWidth="1"/>
    <col min="4" max="4" width="21.44140625" bestFit="1" customWidth="1"/>
    <col min="5" max="5" width="17.44140625" bestFit="1" customWidth="1"/>
    <col min="6" max="7" width="14.44140625" customWidth="1"/>
    <col min="8" max="8" width="4.21875" bestFit="1" customWidth="1"/>
    <col min="9" max="9" width="7" bestFit="1" customWidth="1"/>
    <col min="10" max="10" width="11" bestFit="1" customWidth="1"/>
    <col min="11" max="11" width="18.5546875" bestFit="1" customWidth="1"/>
  </cols>
  <sheetData>
    <row r="1" spans="1:15" x14ac:dyDescent="0.3">
      <c r="A1" s="6" t="s">
        <v>0</v>
      </c>
      <c r="B1" s="6" t="s">
        <v>27</v>
      </c>
      <c r="C1" s="6" t="s">
        <v>26</v>
      </c>
      <c r="D1" s="6" t="s">
        <v>48</v>
      </c>
      <c r="E1" s="6" t="s">
        <v>49</v>
      </c>
      <c r="F1" s="6" t="s">
        <v>46</v>
      </c>
      <c r="G1" s="6" t="s">
        <v>47</v>
      </c>
      <c r="H1" s="6" t="s">
        <v>2</v>
      </c>
      <c r="I1" s="6" t="s">
        <v>3</v>
      </c>
      <c r="J1" s="6" t="s">
        <v>28</v>
      </c>
      <c r="K1" s="6" t="s">
        <v>4</v>
      </c>
      <c r="L1" s="6" t="s">
        <v>56</v>
      </c>
      <c r="M1" s="6" t="s">
        <v>57</v>
      </c>
      <c r="N1" s="6" t="s">
        <v>58</v>
      </c>
      <c r="O1" s="6" t="s">
        <v>59</v>
      </c>
    </row>
    <row r="2" spans="1:15" x14ac:dyDescent="0.3">
      <c r="A2" s="2">
        <v>1</v>
      </c>
      <c r="B2" s="2" t="s">
        <v>5</v>
      </c>
      <c r="C2" s="2" t="s">
        <v>29</v>
      </c>
      <c r="D2" s="2" t="str">
        <f>_xlfn.CONCAT(B2," ",C2)</f>
        <v>Jay Solanki</v>
      </c>
      <c r="E2" s="2" t="s">
        <v>36</v>
      </c>
      <c r="F2" s="2" t="s">
        <v>5</v>
      </c>
      <c r="G2" s="2" t="s">
        <v>29</v>
      </c>
      <c r="H2" s="2">
        <v>25</v>
      </c>
      <c r="I2" s="2">
        <v>37335</v>
      </c>
      <c r="J2" s="1">
        <v>8388777077</v>
      </c>
      <c r="K2" s="2" t="s">
        <v>15</v>
      </c>
      <c r="L2" s="1">
        <v>41</v>
      </c>
      <c r="M2" s="1">
        <v>13</v>
      </c>
      <c r="N2" s="1">
        <v>91</v>
      </c>
      <c r="O2" s="1">
        <v>5</v>
      </c>
    </row>
    <row r="3" spans="1:15" x14ac:dyDescent="0.3">
      <c r="A3" s="2">
        <f>A2+1</f>
        <v>2</v>
      </c>
      <c r="B3" s="2" t="s">
        <v>6</v>
      </c>
      <c r="C3" s="2" t="s">
        <v>30</v>
      </c>
      <c r="D3" s="2" t="str">
        <f t="shared" ref="D3:D11" si="0">_xlfn.CONCAT(B3," ",C3)</f>
        <v>Jyoti Parmar</v>
      </c>
      <c r="E3" s="2" t="s">
        <v>37</v>
      </c>
      <c r="F3" s="2" t="s">
        <v>6</v>
      </c>
      <c r="G3" s="2" t="s">
        <v>30</v>
      </c>
      <c r="H3" s="2">
        <v>30</v>
      </c>
      <c r="I3" s="2">
        <v>40414</v>
      </c>
      <c r="J3" s="1">
        <v>8584117670</v>
      </c>
      <c r="K3" s="2" t="s">
        <v>16</v>
      </c>
      <c r="L3" s="1">
        <v>69</v>
      </c>
      <c r="M3" s="1">
        <v>67</v>
      </c>
      <c r="N3" s="1">
        <v>16</v>
      </c>
      <c r="O3" s="1">
        <v>6</v>
      </c>
    </row>
    <row r="4" spans="1:15" x14ac:dyDescent="0.3">
      <c r="A4" s="2">
        <f t="shared" ref="A4:A11" si="1">A3+1</f>
        <v>3</v>
      </c>
      <c r="B4" s="2" t="s">
        <v>7</v>
      </c>
      <c r="C4" s="2" t="s">
        <v>31</v>
      </c>
      <c r="D4" s="2" t="str">
        <f t="shared" si="0"/>
        <v>jiya Patel</v>
      </c>
      <c r="E4" s="2" t="s">
        <v>38</v>
      </c>
      <c r="F4" s="2" t="s">
        <v>7</v>
      </c>
      <c r="G4" s="2" t="s">
        <v>31</v>
      </c>
      <c r="H4" s="2">
        <v>27</v>
      </c>
      <c r="I4" s="2">
        <v>45993</v>
      </c>
      <c r="J4" s="1">
        <v>7325170899</v>
      </c>
      <c r="K4" s="2" t="s">
        <v>17</v>
      </c>
      <c r="L4" s="1">
        <v>21</v>
      </c>
      <c r="M4" s="1">
        <v>65</v>
      </c>
      <c r="N4" s="1">
        <v>93</v>
      </c>
      <c r="O4" s="1">
        <v>18</v>
      </c>
    </row>
    <row r="5" spans="1:15" x14ac:dyDescent="0.3">
      <c r="A5" s="2">
        <f t="shared" si="1"/>
        <v>4</v>
      </c>
      <c r="B5" s="2" t="s">
        <v>8</v>
      </c>
      <c r="C5" s="2" t="s">
        <v>32</v>
      </c>
      <c r="D5" s="2" t="str">
        <f t="shared" si="0"/>
        <v>Hetvi Makwana</v>
      </c>
      <c r="E5" s="2" t="s">
        <v>39</v>
      </c>
      <c r="F5" s="2" t="s">
        <v>8</v>
      </c>
      <c r="G5" s="2" t="s">
        <v>32</v>
      </c>
      <c r="H5" s="2">
        <v>30</v>
      </c>
      <c r="I5" s="2">
        <v>49654</v>
      </c>
      <c r="J5" s="1">
        <v>8587161420</v>
      </c>
      <c r="K5" s="2" t="s">
        <v>18</v>
      </c>
      <c r="L5" s="1">
        <v>9</v>
      </c>
      <c r="M5" s="1">
        <v>18</v>
      </c>
      <c r="N5" s="1">
        <v>76</v>
      </c>
      <c r="O5" s="1">
        <v>25</v>
      </c>
    </row>
    <row r="6" spans="1:15" x14ac:dyDescent="0.3">
      <c r="A6" s="2">
        <f t="shared" si="1"/>
        <v>5</v>
      </c>
      <c r="B6" s="2" t="s">
        <v>9</v>
      </c>
      <c r="C6" s="2" t="s">
        <v>33</v>
      </c>
      <c r="D6" s="2" t="str">
        <f t="shared" si="0"/>
        <v>Sanjay Parik</v>
      </c>
      <c r="E6" s="2" t="s">
        <v>40</v>
      </c>
      <c r="F6" s="2" t="s">
        <v>9</v>
      </c>
      <c r="G6" s="2" t="s">
        <v>33</v>
      </c>
      <c r="H6" s="2">
        <v>27</v>
      </c>
      <c r="I6" s="2">
        <v>30434</v>
      </c>
      <c r="J6" s="1">
        <v>8203091828</v>
      </c>
      <c r="K6" s="2" t="s">
        <v>19</v>
      </c>
      <c r="L6" s="1">
        <v>87</v>
      </c>
      <c r="M6" s="1">
        <v>43</v>
      </c>
      <c r="N6" s="1">
        <v>30</v>
      </c>
      <c r="O6" s="1">
        <v>50</v>
      </c>
    </row>
    <row r="7" spans="1:15" x14ac:dyDescent="0.3">
      <c r="A7" s="2">
        <f t="shared" si="1"/>
        <v>6</v>
      </c>
      <c r="B7" s="2" t="s">
        <v>10</v>
      </c>
      <c r="C7" s="2" t="s">
        <v>34</v>
      </c>
      <c r="D7" s="2" t="str">
        <f t="shared" si="0"/>
        <v>Pavan Sing</v>
      </c>
      <c r="E7" s="2" t="s">
        <v>41</v>
      </c>
      <c r="F7" s="2" t="s">
        <v>10</v>
      </c>
      <c r="G7" s="2" t="s">
        <v>34</v>
      </c>
      <c r="H7" s="2">
        <v>30</v>
      </c>
      <c r="I7" s="2">
        <v>32778</v>
      </c>
      <c r="J7" s="1">
        <v>7743665088</v>
      </c>
      <c r="K7" s="2" t="s">
        <v>20</v>
      </c>
      <c r="L7" s="1">
        <v>63</v>
      </c>
      <c r="M7" s="1">
        <v>71</v>
      </c>
      <c r="N7" s="1">
        <v>34</v>
      </c>
      <c r="O7" s="1">
        <v>6</v>
      </c>
    </row>
    <row r="8" spans="1:15" x14ac:dyDescent="0.3">
      <c r="A8" s="2">
        <f t="shared" si="1"/>
        <v>7</v>
      </c>
      <c r="B8" s="2" t="s">
        <v>11</v>
      </c>
      <c r="C8" s="2" t="s">
        <v>35</v>
      </c>
      <c r="D8" s="2" t="str">
        <f t="shared" si="0"/>
        <v>Shivam Gujjar</v>
      </c>
      <c r="E8" s="2" t="s">
        <v>42</v>
      </c>
      <c r="F8" s="2" t="s">
        <v>11</v>
      </c>
      <c r="G8" s="2" t="s">
        <v>35</v>
      </c>
      <c r="H8" s="2">
        <v>27</v>
      </c>
      <c r="I8" s="2">
        <v>47072</v>
      </c>
      <c r="J8" s="1">
        <v>8407884657</v>
      </c>
      <c r="K8" s="2" t="s">
        <v>21</v>
      </c>
      <c r="L8" s="1">
        <v>70</v>
      </c>
      <c r="M8" s="1">
        <v>75</v>
      </c>
      <c r="N8" s="1">
        <v>91</v>
      </c>
      <c r="O8" s="1">
        <v>9</v>
      </c>
    </row>
    <row r="9" spans="1:15" x14ac:dyDescent="0.3">
      <c r="A9" s="2">
        <f t="shared" si="1"/>
        <v>8</v>
      </c>
      <c r="B9" s="2" t="s">
        <v>12</v>
      </c>
      <c r="C9" s="2" t="s">
        <v>31</v>
      </c>
      <c r="D9" s="2" t="str">
        <f t="shared" si="0"/>
        <v>Om Patel</v>
      </c>
      <c r="E9" s="2" t="s">
        <v>43</v>
      </c>
      <c r="F9" s="2" t="s">
        <v>12</v>
      </c>
      <c r="G9" s="2" t="s">
        <v>31</v>
      </c>
      <c r="H9" s="2">
        <v>27</v>
      </c>
      <c r="I9" s="2">
        <v>33611</v>
      </c>
      <c r="J9" s="1">
        <v>7979138819</v>
      </c>
      <c r="K9" s="2" t="s">
        <v>22</v>
      </c>
      <c r="L9" s="1">
        <v>18</v>
      </c>
      <c r="M9" s="1">
        <v>68</v>
      </c>
      <c r="N9" s="1">
        <v>10</v>
      </c>
      <c r="O9" s="1">
        <v>58</v>
      </c>
    </row>
    <row r="10" spans="1:15" x14ac:dyDescent="0.3">
      <c r="A10" s="2">
        <f t="shared" si="1"/>
        <v>9</v>
      </c>
      <c r="B10" s="2" t="s">
        <v>13</v>
      </c>
      <c r="C10" s="2" t="s">
        <v>29</v>
      </c>
      <c r="D10" s="2" t="str">
        <f t="shared" si="0"/>
        <v>Ravindra Solanki</v>
      </c>
      <c r="E10" s="2" t="s">
        <v>44</v>
      </c>
      <c r="F10" s="2" t="s">
        <v>13</v>
      </c>
      <c r="G10" s="2" t="s">
        <v>29</v>
      </c>
      <c r="H10" s="2">
        <v>25</v>
      </c>
      <c r="I10" s="2">
        <v>43361</v>
      </c>
      <c r="J10" s="1">
        <v>8918582809</v>
      </c>
      <c r="K10" s="2" t="s">
        <v>23</v>
      </c>
      <c r="L10" s="1">
        <v>35</v>
      </c>
      <c r="M10" s="1">
        <v>45</v>
      </c>
      <c r="N10" s="1">
        <v>70</v>
      </c>
      <c r="O10" s="1">
        <v>36</v>
      </c>
    </row>
    <row r="11" spans="1:15" x14ac:dyDescent="0.3">
      <c r="A11" s="2">
        <f t="shared" si="1"/>
        <v>10</v>
      </c>
      <c r="B11" s="2" t="s">
        <v>14</v>
      </c>
      <c r="C11" s="2" t="s">
        <v>30</v>
      </c>
      <c r="D11" s="2" t="str">
        <f t="shared" si="0"/>
        <v>Prithvi Parmar</v>
      </c>
      <c r="E11" s="2" t="s">
        <v>45</v>
      </c>
      <c r="F11" s="2" t="s">
        <v>14</v>
      </c>
      <c r="G11" s="2" t="s">
        <v>30</v>
      </c>
      <c r="H11" s="2">
        <v>26</v>
      </c>
      <c r="I11" s="2">
        <v>42463</v>
      </c>
      <c r="J11" s="1">
        <v>8831603284</v>
      </c>
      <c r="K11" s="2" t="s">
        <v>24</v>
      </c>
      <c r="L11" s="1">
        <v>72</v>
      </c>
      <c r="M11" s="1">
        <v>21</v>
      </c>
      <c r="N11" s="1">
        <v>34</v>
      </c>
      <c r="O11" s="1">
        <v>50</v>
      </c>
    </row>
    <row r="12" spans="1:15" x14ac:dyDescent="0.3">
      <c r="A12" s="3" t="s">
        <v>25</v>
      </c>
      <c r="B12" s="3"/>
      <c r="C12" s="7"/>
      <c r="D12" s="7"/>
      <c r="E12" s="7"/>
      <c r="F12" s="7"/>
      <c r="G12" s="7"/>
      <c r="H12" s="4">
        <f>SUM(H2:H11)</f>
        <v>274</v>
      </c>
      <c r="I12" s="4">
        <f>SUM(I2:I11)</f>
        <v>403115</v>
      </c>
      <c r="J12" s="5"/>
      <c r="K12" s="5"/>
      <c r="L12" s="1">
        <f>SUM(L2:L11)</f>
        <v>485</v>
      </c>
      <c r="M12" s="1">
        <f t="shared" ref="M12:O12" si="2">SUM(M2:M11)</f>
        <v>486</v>
      </c>
      <c r="N12" s="1">
        <f t="shared" si="2"/>
        <v>545</v>
      </c>
      <c r="O12" s="1">
        <f t="shared" si="2"/>
        <v>263</v>
      </c>
    </row>
    <row r="15" spans="1:15" x14ac:dyDescent="0.3">
      <c r="K15" s="8" t="s">
        <v>60</v>
      </c>
      <c r="L15" s="8">
        <f>SUM(L2:L11)</f>
        <v>485</v>
      </c>
      <c r="M15" s="8">
        <f t="shared" ref="M15:O15" si="3">SUM(M2:M11)</f>
        <v>486</v>
      </c>
      <c r="N15" s="8">
        <f t="shared" si="3"/>
        <v>545</v>
      </c>
      <c r="O15" s="8">
        <f t="shared" si="3"/>
        <v>263</v>
      </c>
    </row>
    <row r="16" spans="1:15" x14ac:dyDescent="0.3">
      <c r="K16" s="8" t="s">
        <v>61</v>
      </c>
      <c r="L16" s="8">
        <f>COUNT(L2:L11)</f>
        <v>10</v>
      </c>
      <c r="M16" s="8">
        <f t="shared" ref="M16:O16" si="4">COUNT(M2:M11)</f>
        <v>10</v>
      </c>
      <c r="N16" s="8">
        <f t="shared" si="4"/>
        <v>10</v>
      </c>
      <c r="O16" s="8">
        <f t="shared" si="4"/>
        <v>10</v>
      </c>
    </row>
    <row r="17" spans="4:15" x14ac:dyDescent="0.3">
      <c r="D17" s="8" t="s">
        <v>50</v>
      </c>
      <c r="E17" s="8" t="s">
        <v>51</v>
      </c>
      <c r="F17" s="8" t="s">
        <v>52</v>
      </c>
      <c r="G17" s="8" t="s">
        <v>53</v>
      </c>
      <c r="K17" s="8" t="s">
        <v>62</v>
      </c>
      <c r="L17" s="8">
        <f>MIN(L2:L11)</f>
        <v>9</v>
      </c>
      <c r="M17" s="8">
        <f t="shared" ref="M17:O17" si="5">MIN(M2:M11)</f>
        <v>13</v>
      </c>
      <c r="N17" s="8">
        <f t="shared" si="5"/>
        <v>10</v>
      </c>
      <c r="O17" s="8">
        <f t="shared" si="5"/>
        <v>5</v>
      </c>
    </row>
    <row r="18" spans="4:15" x14ac:dyDescent="0.3">
      <c r="D18" s="2" t="s">
        <v>15</v>
      </c>
      <c r="E18" s="2" t="s">
        <v>5</v>
      </c>
      <c r="F18" s="2" t="s">
        <v>54</v>
      </c>
      <c r="G18" s="2" t="s">
        <v>55</v>
      </c>
      <c r="K18" s="8" t="s">
        <v>63</v>
      </c>
      <c r="L18" s="8">
        <f>MAX(L2:L11)</f>
        <v>87</v>
      </c>
      <c r="M18" s="8">
        <f t="shared" ref="M18:O18" si="6">MAX(M2:M11)</f>
        <v>75</v>
      </c>
      <c r="N18" s="8">
        <f t="shared" si="6"/>
        <v>93</v>
      </c>
      <c r="O18" s="8">
        <f t="shared" si="6"/>
        <v>58</v>
      </c>
    </row>
    <row r="19" spans="4:15" x14ac:dyDescent="0.3">
      <c r="D19" s="2" t="s">
        <v>16</v>
      </c>
      <c r="E19" s="2" t="s">
        <v>6</v>
      </c>
      <c r="F19" s="2" t="s">
        <v>54</v>
      </c>
      <c r="G19" s="2" t="s">
        <v>55</v>
      </c>
      <c r="K19" s="8" t="s">
        <v>64</v>
      </c>
      <c r="L19" s="8">
        <f>AVERAGE(L2:L11)</f>
        <v>48.5</v>
      </c>
      <c r="M19" s="8">
        <f t="shared" ref="M19:O19" si="7">AVERAGE(M2:M11)</f>
        <v>48.6</v>
      </c>
      <c r="N19" s="8">
        <f t="shared" si="7"/>
        <v>54.5</v>
      </c>
      <c r="O19" s="8">
        <f t="shared" si="7"/>
        <v>26.3</v>
      </c>
    </row>
    <row r="20" spans="4:15" x14ac:dyDescent="0.3">
      <c r="D20" s="2" t="s">
        <v>17</v>
      </c>
      <c r="E20" s="2" t="s">
        <v>7</v>
      </c>
      <c r="F20" s="2" t="s">
        <v>54</v>
      </c>
      <c r="G20" s="2" t="s">
        <v>55</v>
      </c>
    </row>
    <row r="21" spans="4:15" x14ac:dyDescent="0.3">
      <c r="D21" s="2" t="s">
        <v>18</v>
      </c>
      <c r="E21" s="2" t="s">
        <v>8</v>
      </c>
      <c r="F21" s="2" t="s">
        <v>54</v>
      </c>
      <c r="G21" s="2" t="s">
        <v>55</v>
      </c>
    </row>
    <row r="22" spans="4:15" x14ac:dyDescent="0.3">
      <c r="D22" s="2" t="s">
        <v>19</v>
      </c>
      <c r="E22" s="2" t="s">
        <v>9</v>
      </c>
      <c r="F22" s="2" t="s">
        <v>54</v>
      </c>
      <c r="G22" s="2" t="s">
        <v>55</v>
      </c>
    </row>
    <row r="23" spans="4:15" x14ac:dyDescent="0.3">
      <c r="D23" s="2" t="s">
        <v>20</v>
      </c>
      <c r="E23" s="2" t="s">
        <v>10</v>
      </c>
      <c r="F23" s="2" t="s">
        <v>54</v>
      </c>
      <c r="G23" s="2" t="s">
        <v>55</v>
      </c>
    </row>
    <row r="24" spans="4:15" x14ac:dyDescent="0.3">
      <c r="D24" s="2" t="s">
        <v>21</v>
      </c>
      <c r="E24" s="2" t="s">
        <v>11</v>
      </c>
      <c r="F24" s="2" t="s">
        <v>54</v>
      </c>
      <c r="G24" s="2" t="s">
        <v>55</v>
      </c>
    </row>
    <row r="25" spans="4:15" x14ac:dyDescent="0.3">
      <c r="D25" s="2" t="s">
        <v>22</v>
      </c>
      <c r="E25" s="2" t="s">
        <v>12</v>
      </c>
      <c r="F25" s="2" t="s">
        <v>54</v>
      </c>
      <c r="G25" s="2" t="s">
        <v>55</v>
      </c>
    </row>
    <row r="26" spans="4:15" x14ac:dyDescent="0.3">
      <c r="D26" s="2" t="s">
        <v>23</v>
      </c>
      <c r="E26" s="2" t="s">
        <v>13</v>
      </c>
      <c r="F26" s="2" t="s">
        <v>54</v>
      </c>
      <c r="G26" s="2" t="s">
        <v>55</v>
      </c>
    </row>
    <row r="27" spans="4:15" x14ac:dyDescent="0.3">
      <c r="D27" s="2" t="s">
        <v>24</v>
      </c>
      <c r="E27" s="2" t="s">
        <v>14</v>
      </c>
      <c r="F27" s="2" t="s">
        <v>54</v>
      </c>
      <c r="G27" s="2" t="s">
        <v>55</v>
      </c>
    </row>
  </sheetData>
  <mergeCells count="1">
    <mergeCell ref="A12:B1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F5E32-6E15-4519-998B-39A76043565A}">
  <dimension ref="A1:E12"/>
  <sheetViews>
    <sheetView workbookViewId="0">
      <selection activeCell="C1" sqref="A1:E12"/>
    </sheetView>
  </sheetViews>
  <sheetFormatPr defaultRowHeight="14.4" x14ac:dyDescent="0.3"/>
  <cols>
    <col min="1" max="1" width="6.109375" bestFit="1" customWidth="1"/>
    <col min="2" max="2" width="8.109375" bestFit="1" customWidth="1"/>
    <col min="3" max="3" width="4.21875" bestFit="1" customWidth="1"/>
    <col min="4" max="4" width="7" bestFit="1" customWidth="1"/>
    <col min="5" max="5" width="18.5546875" bestFit="1" customWidth="1"/>
  </cols>
  <sheetData>
    <row r="1" spans="1:5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x14ac:dyDescent="0.3">
      <c r="A2" s="2">
        <v>1</v>
      </c>
      <c r="B2" s="2" t="s">
        <v>5</v>
      </c>
      <c r="C2" s="2">
        <v>25</v>
      </c>
      <c r="D2" s="2">
        <v>37335</v>
      </c>
      <c r="E2" s="2" t="s">
        <v>15</v>
      </c>
    </row>
    <row r="3" spans="1:5" x14ac:dyDescent="0.3">
      <c r="A3" s="2">
        <f>A2+1</f>
        <v>2</v>
      </c>
      <c r="B3" s="2" t="s">
        <v>6</v>
      </c>
      <c r="C3" s="2">
        <v>30</v>
      </c>
      <c r="D3" s="2">
        <v>40414</v>
      </c>
      <c r="E3" s="2" t="s">
        <v>16</v>
      </c>
    </row>
    <row r="4" spans="1:5" x14ac:dyDescent="0.3">
      <c r="A4" s="2">
        <f t="shared" ref="A4:A11" si="0">A3+1</f>
        <v>3</v>
      </c>
      <c r="B4" s="2" t="s">
        <v>7</v>
      </c>
      <c r="C4" s="2">
        <v>27</v>
      </c>
      <c r="D4" s="2">
        <v>45993</v>
      </c>
      <c r="E4" s="2" t="s">
        <v>17</v>
      </c>
    </row>
    <row r="5" spans="1:5" x14ac:dyDescent="0.3">
      <c r="A5" s="2">
        <f t="shared" si="0"/>
        <v>4</v>
      </c>
      <c r="B5" s="2" t="s">
        <v>8</v>
      </c>
      <c r="C5" s="2">
        <v>30</v>
      </c>
      <c r="D5" s="2">
        <v>49654</v>
      </c>
      <c r="E5" s="2" t="s">
        <v>18</v>
      </c>
    </row>
    <row r="6" spans="1:5" x14ac:dyDescent="0.3">
      <c r="A6" s="2">
        <f t="shared" si="0"/>
        <v>5</v>
      </c>
      <c r="B6" s="2" t="s">
        <v>9</v>
      </c>
      <c r="C6" s="2">
        <v>27</v>
      </c>
      <c r="D6" s="2">
        <v>30434</v>
      </c>
      <c r="E6" s="2" t="s">
        <v>19</v>
      </c>
    </row>
    <row r="7" spans="1:5" x14ac:dyDescent="0.3">
      <c r="A7" s="2">
        <f t="shared" si="0"/>
        <v>6</v>
      </c>
      <c r="B7" s="2" t="s">
        <v>10</v>
      </c>
      <c r="C7" s="2">
        <v>30</v>
      </c>
      <c r="D7" s="2">
        <v>32778</v>
      </c>
      <c r="E7" s="2" t="s">
        <v>20</v>
      </c>
    </row>
    <row r="8" spans="1:5" x14ac:dyDescent="0.3">
      <c r="A8" s="2">
        <f t="shared" si="0"/>
        <v>7</v>
      </c>
      <c r="B8" s="2" t="s">
        <v>11</v>
      </c>
      <c r="C8" s="2">
        <v>27</v>
      </c>
      <c r="D8" s="2">
        <v>47072</v>
      </c>
      <c r="E8" s="2" t="s">
        <v>21</v>
      </c>
    </row>
    <row r="9" spans="1:5" x14ac:dyDescent="0.3">
      <c r="A9" s="2">
        <f t="shared" si="0"/>
        <v>8</v>
      </c>
      <c r="B9" s="2" t="s">
        <v>12</v>
      </c>
      <c r="C9" s="2">
        <v>27</v>
      </c>
      <c r="D9" s="2">
        <v>33611</v>
      </c>
      <c r="E9" s="2" t="s">
        <v>22</v>
      </c>
    </row>
    <row r="10" spans="1:5" x14ac:dyDescent="0.3">
      <c r="A10" s="2">
        <f t="shared" si="0"/>
        <v>9</v>
      </c>
      <c r="B10" s="2" t="s">
        <v>13</v>
      </c>
      <c r="C10" s="2">
        <v>25</v>
      </c>
      <c r="D10" s="2">
        <v>43361</v>
      </c>
      <c r="E10" s="2" t="s">
        <v>23</v>
      </c>
    </row>
    <row r="11" spans="1:5" x14ac:dyDescent="0.3">
      <c r="A11" s="2">
        <f t="shared" si="0"/>
        <v>10</v>
      </c>
      <c r="B11" s="2" t="s">
        <v>14</v>
      </c>
      <c r="C11" s="2">
        <v>26</v>
      </c>
      <c r="D11" s="2">
        <v>42463</v>
      </c>
      <c r="E11" s="2" t="s">
        <v>24</v>
      </c>
    </row>
    <row r="12" spans="1:5" x14ac:dyDescent="0.3">
      <c r="A12" s="3" t="s">
        <v>25</v>
      </c>
      <c r="B12" s="3"/>
      <c r="C12" s="4">
        <f>SUM(C2:C11)</f>
        <v>274</v>
      </c>
      <c r="D12" s="4">
        <f>SUM(D2:D11)</f>
        <v>403115</v>
      </c>
      <c r="E12" s="5"/>
    </row>
  </sheetData>
  <mergeCells count="1">
    <mergeCell ref="A12:B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Split Entry</vt:lpstr>
      <vt:lpstr>Data Entry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Shahista Shaikh</dc:creator>
  <cp:lastModifiedBy>Shahista Shaikh</cp:lastModifiedBy>
  <dcterms:created xsi:type="dcterms:W3CDTF">2026-01-18T05:17:39Z</dcterms:created>
  <dcterms:modified xsi:type="dcterms:W3CDTF">2026-01-18T07:01:12Z</dcterms:modified>
</cp:coreProperties>
</file>