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\OneDrive\Desktop\Github\Data-Analytics\"/>
    </mc:Choice>
  </mc:AlternateContent>
  <xr:revisionPtr revIDLastSave="0" documentId="13_ncr:1_{CF79CD5C-6BDC-4444-B040-4C96775394CA}" xr6:coauthVersionLast="47" xr6:coauthVersionMax="47" xr10:uidLastSave="{00000000-0000-0000-0000-000000000000}"/>
  <bookViews>
    <workbookView xWindow="-108" yWindow="-108" windowWidth="23256" windowHeight="12456" xr2:uid="{2657F05A-14C3-435E-A5D1-53647685FE3A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definedNames>
    <definedName name="_xlnm._FilterDatabase" localSheetId="3" hidden="1">'Task 4'!$A$2:$C$22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F16" i="5"/>
  <c r="F15" i="5"/>
  <c r="F14" i="5"/>
  <c r="F11" i="5"/>
  <c r="F10" i="5"/>
  <c r="F9" i="5"/>
  <c r="F5" i="5"/>
  <c r="F6" i="5"/>
  <c r="F4" i="5"/>
  <c r="C24" i="4"/>
  <c r="C2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</calcChain>
</file>

<file path=xl/sharedStrings.xml><?xml version="1.0" encoding="utf-8"?>
<sst xmlns="http://schemas.openxmlformats.org/spreadsheetml/2006/main" count="498" uniqueCount="184">
  <si>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</si>
  <si>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</si>
  <si>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</si>
  <si>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</si>
  <si>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</si>
  <si>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</si>
  <si>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</si>
  <si>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</si>
  <si>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</si>
  <si>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</si>
  <si>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</si>
  <si>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</si>
  <si>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</si>
  <si>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</si>
  <si>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</si>
  <si>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</si>
  <si>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</si>
  <si>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</si>
  <si>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</si>
  <si>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</si>
  <si>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</si>
  <si>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</si>
  <si>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</si>
  <si>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</si>
  <si>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</si>
  <si>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</si>
  <si>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</si>
  <si>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</si>
  <si>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</si>
  <si>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</si>
  <si>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</si>
  <si>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</si>
  <si>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</si>
  <si>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</si>
  <si>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Anshu Patel</t>
  </si>
  <si>
    <t>Ankit Sharma</t>
  </si>
  <si>
    <t>Ayush Bhagle</t>
  </si>
  <si>
    <t>Vinod Kumar</t>
  </si>
  <si>
    <t>Bharat Kumar</t>
  </si>
  <si>
    <t>Goutam Ghambhir</t>
  </si>
  <si>
    <t>Virat Kohli</t>
  </si>
  <si>
    <t>Rohit Sharma</t>
  </si>
  <si>
    <t>Shivam Dube</t>
  </si>
  <si>
    <t>Format header row (Bold, Color)
Salary → Currency (₹)
Date → Date format
Apply borders and auto-fit columns</t>
  </si>
  <si>
    <t>Task</t>
  </si>
  <si>
    <t>Task 1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</si>
  <si>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</si>
  <si>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</si>
  <si>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</si>
  <si>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</si>
  <si>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</si>
  <si>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</si>
  <si>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</si>
  <si>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</si>
  <si>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</si>
  <si>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</si>
  <si>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</si>
  <si>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</si>
  <si>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</si>
  <si>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</si>
  <si>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</si>
  <si>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</si>
  <si>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Ramesh Sing</t>
  </si>
  <si>
    <t>Sneha Patel</t>
  </si>
  <si>
    <t>Arjun Kumar</t>
  </si>
  <si>
    <t>Kavita Guna</t>
  </si>
  <si>
    <t>Ankit Sing</t>
  </si>
  <si>
    <t>Anshu Makwana</t>
  </si>
  <si>
    <t>Add title Monthly Sales Report
Merge &amp; center title
Wrap text for product names
Currency format for sales</t>
  </si>
  <si>
    <t>Task 2</t>
  </si>
  <si>
    <t>Rohit</t>
  </si>
  <si>
    <t>Laptop Dell Inspiron 16</t>
  </si>
  <si>
    <t>Laptop Dell Inspiron 17</t>
  </si>
  <si>
    <t>Laptop Dell Inspiron 18</t>
  </si>
  <si>
    <t>Laptop Dell Inspiron 19</t>
  </si>
  <si>
    <t>Laptop Dell Inspiron 20</t>
  </si>
  <si>
    <t>Monthly Sales Report</t>
  </si>
  <si>
    <t>Employee Sheet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</si>
  <si>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</si>
  <si>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</si>
  <si>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</si>
  <si>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</si>
  <si>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</si>
  <si>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</si>
  <si>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</si>
  <si>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</si>
  <si>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</si>
  <si>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</si>
  <si>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</si>
  <si>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Calculate Percentage
Format percentage column
Apply cell styles to headers</t>
  </si>
  <si>
    <t>Task 3</t>
  </si>
  <si>
    <t>Student Marks Sheet</t>
  </si>
  <si>
    <t>Task 4</t>
  </si>
  <si>
    <t>Calculate Total Sales
Find Average Sales
Identify Highest &amp; Lowest Sale</t>
  </si>
  <si>
    <t>Sales Summary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</si>
  <si>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</si>
  <si>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</si>
  <si>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</si>
  <si>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</si>
  <si>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</si>
  <si>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</si>
  <si>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</si>
  <si>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</si>
  <si>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</si>
  <si>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</si>
  <si>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</si>
  <si>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</si>
  <si>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</si>
  <si>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</si>
  <si>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</si>
  <si>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</si>
  <si>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</si>
  <si>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</si>
  <si>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</si>
  <si>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</si>
  <si>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</si>
  <si>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</si>
  <si>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</t>
  </si>
  <si>
    <t>AVG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</si>
  <si>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</si>
  <si>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</si>
  <si>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</si>
  <si>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</si>
  <si>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</si>
  <si>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</si>
  <si>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</si>
  <si>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
Average salary
Count employees</t>
  </si>
  <si>
    <t>Task 5</t>
  </si>
  <si>
    <t>Total salary per department</t>
  </si>
  <si>
    <t>Average salary</t>
  </si>
  <si>
    <t>Day 1</t>
  </si>
  <si>
    <t>Day 2</t>
  </si>
  <si>
    <t>Day 3</t>
  </si>
  <si>
    <t>Day 4</t>
  </si>
  <si>
    <t>Day 5</t>
  </si>
  <si>
    <t>P</t>
  </si>
  <si>
    <t>A</t>
  </si>
  <si>
    <t>Attendance Sheet</t>
  </si>
  <si>
    <t>Task 6</t>
  </si>
  <si>
    <t>Count Present days
Count Absent days</t>
  </si>
  <si>
    <t>Present</t>
  </si>
  <si>
    <t>Absent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</si>
  <si>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</si>
  <si>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</si>
  <si>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</si>
  <si>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</si>
  <si>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</si>
  <si>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</si>
  <si>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</si>
  <si>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</si>
  <si>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</si>
  <si>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</si>
  <si>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</si>
  <si>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</si>
  <si>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</si>
  <si>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</si>
  <si>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</si>
  <si>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</si>
  <si>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</si>
  <si>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</si>
  <si>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</si>
  <si>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</si>
  <si>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</si>
  <si>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 sales above 10000</t>
  </si>
  <si>
    <t>Count sales below 5000</t>
  </si>
  <si>
    <t>Product</t>
  </si>
  <si>
    <t>Mobile</t>
  </si>
  <si>
    <t>Headphones</t>
  </si>
  <si>
    <t>Laptop</t>
  </si>
  <si>
    <t>Keyboard</t>
  </si>
  <si>
    <t>Tablet</t>
  </si>
  <si>
    <t>Highlight sales &gt; 20000 (Green)
Highlight sales &lt; 5000 (Red)</t>
  </si>
  <si>
    <t>Marks</t>
  </si>
  <si>
    <t>Bharti</t>
  </si>
  <si>
    <t>Chetan</t>
  </si>
  <si>
    <t>Deepa</t>
  </si>
  <si>
    <t>Farhan</t>
  </si>
  <si>
    <t>Student Result</t>
  </si>
  <si>
    <t>Marks ≥ 75 → Green
Marks &lt; 40 → Red</t>
  </si>
  <si>
    <t>Simran</t>
  </si>
  <si>
    <t>Vijay</t>
  </si>
  <si>
    <t>Nisha</t>
  </si>
  <si>
    <t>Mohan</t>
  </si>
  <si>
    <t>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</si>
</sst>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2" formatCode="&quot;₹&quot;\ #,##0"/>
    <numFmt numFmtId="177" formatCode="[$$-C09]#,##0"/>
    <numFmt numFmtId="180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b/>
      <sz val="10"/>
      <color rgb="FF1F2328"/>
      <name val="Segoe UI"/>
      <family val="2"/>
    </font>
    <font>
      <sz val="8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/>
    </xf>
    <xf numFmtId="172" fontId="3" fillId="0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72" fontId="3" fillId="0" borderId="9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15" fontId="3" fillId="0" borderId="7" xfId="0" applyNumberFormat="1" applyFont="1" applyFill="1" applyBorder="1" applyAlignment="1">
      <alignment horizontal="center" vertical="center"/>
    </xf>
    <xf numFmtId="15" fontId="3" fillId="0" borderId="1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15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80" fontId="0" fillId="0" borderId="1" xfId="1" applyNumberFormat="1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0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D3CB-BB40-4C79-B714-27161894578C}">
  <dimension ref="A1:H22"/>
  <sheetViews>
    <sheetView tabSelected="1" workbookViewId="0">
      <selection activeCell="A22" sqref="A22"/>
    </sheetView>
  </sheetViews>
  <sheetFormatPr defaultRowHeight="14.4" x14ac:dyDescent="0.3"/>
  <cols>
    <col min="1" max="1" width="12.21875" style="1" bestFit="1" customWidth="1"/>
    <col min="2" max="2" width="17" style="1" bestFit="1" customWidth="1"/>
    <col min="3" max="3" width="11.88671875" style="1" bestFit="1" customWidth="1"/>
    <col min="4" max="4" width="8" style="1" bestFit="1" customWidth="1"/>
    <col min="5" max="5" width="12.33203125" style="1" bestFit="1" customWidth="1"/>
    <col min="6" max="6" width="8.88671875" style="1"/>
    <col min="7" max="8" width="12.77734375" style="1" customWidth="1"/>
    <col min="9" max="16384" width="8.88671875" style="1"/>
  </cols>
  <sheetData>
    <row r="1" spans="1:8" ht="24" thickBot="1" x14ac:dyDescent="0.5">
      <c r="A1" s="9" t="s">
        <v>77</v>
      </c>
      <c r="B1" s="10"/>
      <c r="C1" s="10"/>
      <c r="D1" s="10"/>
      <c r="E1" s="11"/>
    </row>
    <row r="2" spans="1:8" ht="15" x14ac:dyDescent="0.3">
      <c r="A2" s="12" t="s">
        <v>0</v>
      </c>
      <c r="B2" s="4" t="s">
        <v>1</v>
      </c>
      <c r="C2" s="4" t="s">
        <v>2</v>
      </c>
      <c r="D2" s="4" t="s">
        <v>3</v>
      </c>
      <c r="E2" s="13" t="s">
        <v>4</v>
      </c>
      <c r="G2" s="18" t="s">
        <v>45</v>
      </c>
      <c r="H2" s="19"/>
    </row>
    <row r="3" spans="1:8" ht="15" customHeight="1" x14ac:dyDescent="0.3">
      <c r="A3" s="14" t="s">
        <v>5</v>
      </c>
      <c r="B3" s="5" t="s">
        <v>6</v>
      </c>
      <c r="C3" s="5" t="s">
        <v>7</v>
      </c>
      <c r="D3" s="8">
        <v>32000</v>
      </c>
      <c r="E3" s="24">
        <v>44573</v>
      </c>
      <c r="G3" s="20" t="s">
        <v>43</v>
      </c>
      <c r="H3" s="21"/>
    </row>
    <row r="4" spans="1:8" ht="15" x14ac:dyDescent="0.3">
      <c r="A4" s="14" t="s">
        <v>8</v>
      </c>
      <c r="B4" s="5" t="s">
        <v>9</v>
      </c>
      <c r="C4" s="5" t="s">
        <v>10</v>
      </c>
      <c r="D4" s="8">
        <v>45000</v>
      </c>
      <c r="E4" s="24">
        <v>44260</v>
      </c>
      <c r="G4" s="20"/>
      <c r="H4" s="21"/>
    </row>
    <row r="5" spans="1:8" ht="15" x14ac:dyDescent="0.3">
      <c r="A5" s="14" t="s">
        <v>11</v>
      </c>
      <c r="B5" s="5" t="s">
        <v>12</v>
      </c>
      <c r="C5" s="5" t="s">
        <v>13</v>
      </c>
      <c r="D5" s="8">
        <v>38000</v>
      </c>
      <c r="E5" s="24">
        <v>44030</v>
      </c>
      <c r="G5" s="20"/>
      <c r="H5" s="21"/>
    </row>
    <row r="6" spans="1:8" ht="15" x14ac:dyDescent="0.3">
      <c r="A6" s="14" t="s">
        <v>14</v>
      </c>
      <c r="B6" s="5" t="s">
        <v>15</v>
      </c>
      <c r="C6" s="5" t="s">
        <v>10</v>
      </c>
      <c r="D6" s="8">
        <v>52000</v>
      </c>
      <c r="E6" s="24">
        <v>43779</v>
      </c>
      <c r="G6" s="20"/>
      <c r="H6" s="21"/>
    </row>
    <row r="7" spans="1:8" ht="15" x14ac:dyDescent="0.3">
      <c r="A7" s="14" t="s">
        <v>16</v>
      </c>
      <c r="B7" s="5" t="s">
        <v>17</v>
      </c>
      <c r="C7" s="5" t="s">
        <v>18</v>
      </c>
      <c r="D7" s="8">
        <v>30000</v>
      </c>
      <c r="E7" s="24">
        <v>45102</v>
      </c>
      <c r="G7" s="20"/>
      <c r="H7" s="21"/>
    </row>
    <row r="8" spans="1:8" ht="15.6" thickBot="1" x14ac:dyDescent="0.35">
      <c r="A8" s="14" t="s">
        <v>19</v>
      </c>
      <c r="B8" s="5" t="s">
        <v>34</v>
      </c>
      <c r="C8" s="5" t="s">
        <v>7</v>
      </c>
      <c r="D8" s="8">
        <v>47097</v>
      </c>
      <c r="E8" s="24">
        <v>45703</v>
      </c>
      <c r="G8" s="22"/>
      <c r="H8" s="23"/>
    </row>
    <row r="9" spans="1:8" ht="15" x14ac:dyDescent="0.3">
      <c r="A9" s="14" t="s">
        <v>20</v>
      </c>
      <c r="B9" s="6" t="s">
        <v>35</v>
      </c>
      <c r="C9" s="5" t="s">
        <v>10</v>
      </c>
      <c r="D9" s="8">
        <v>37810</v>
      </c>
      <c r="E9" s="24">
        <v>45673</v>
      </c>
      <c r="G9" s="7"/>
      <c r="H9" s="7"/>
    </row>
    <row r="10" spans="1:8" ht="15" x14ac:dyDescent="0.3">
      <c r="A10" s="14" t="s">
        <v>21</v>
      </c>
      <c r="B10" s="5" t="s">
        <v>36</v>
      </c>
      <c r="C10" s="5" t="s">
        <v>13</v>
      </c>
      <c r="D10" s="8">
        <v>38761</v>
      </c>
      <c r="E10" s="24">
        <v>45732</v>
      </c>
      <c r="G10" s="7"/>
      <c r="H10" s="7"/>
    </row>
    <row r="11" spans="1:8" ht="15" x14ac:dyDescent="0.3">
      <c r="A11" s="14" t="s">
        <v>22</v>
      </c>
      <c r="B11" s="5" t="s">
        <v>37</v>
      </c>
      <c r="C11" s="5" t="s">
        <v>10</v>
      </c>
      <c r="D11" s="8">
        <v>35117</v>
      </c>
      <c r="E11" s="24">
        <v>45782</v>
      </c>
      <c r="G11" s="7"/>
      <c r="H11" s="7"/>
    </row>
    <row r="12" spans="1:8" ht="15" x14ac:dyDescent="0.3">
      <c r="A12" s="14" t="s">
        <v>23</v>
      </c>
      <c r="B12" s="5" t="s">
        <v>38</v>
      </c>
      <c r="C12" s="5" t="s">
        <v>18</v>
      </c>
      <c r="D12" s="8">
        <v>32514</v>
      </c>
      <c r="E12" s="24">
        <v>45672</v>
      </c>
      <c r="G12" s="7"/>
      <c r="H12" s="7"/>
    </row>
    <row r="13" spans="1:8" ht="15" x14ac:dyDescent="0.3">
      <c r="A13" s="14" t="s">
        <v>24</v>
      </c>
      <c r="B13" s="5" t="s">
        <v>39</v>
      </c>
      <c r="C13" s="5" t="s">
        <v>7</v>
      </c>
      <c r="D13" s="8">
        <v>39200</v>
      </c>
      <c r="E13" s="24">
        <v>45787</v>
      </c>
    </row>
    <row r="14" spans="1:8" ht="15" x14ac:dyDescent="0.3">
      <c r="A14" s="14" t="s">
        <v>25</v>
      </c>
      <c r="B14" s="5" t="s">
        <v>40</v>
      </c>
      <c r="C14" s="5" t="s">
        <v>10</v>
      </c>
      <c r="D14" s="8">
        <v>45917</v>
      </c>
      <c r="E14" s="24">
        <v>45781</v>
      </c>
    </row>
    <row r="15" spans="1:8" ht="15" x14ac:dyDescent="0.3">
      <c r="A15" s="14" t="s">
        <v>26</v>
      </c>
      <c r="B15" s="5" t="s">
        <v>41</v>
      </c>
      <c r="C15" s="5" t="s">
        <v>13</v>
      </c>
      <c r="D15" s="8">
        <v>51413</v>
      </c>
      <c r="E15" s="24">
        <v>45730</v>
      </c>
    </row>
    <row r="16" spans="1:8" ht="15" x14ac:dyDescent="0.3">
      <c r="A16" s="14" t="s">
        <v>27</v>
      </c>
      <c r="B16" s="5" t="s">
        <v>42</v>
      </c>
      <c r="C16" s="5" t="s">
        <v>10</v>
      </c>
      <c r="D16" s="8">
        <v>50096</v>
      </c>
      <c r="E16" s="24">
        <v>45802</v>
      </c>
    </row>
    <row r="17" spans="1:5" ht="15" x14ac:dyDescent="0.3">
      <c r="A17" s="14" t="s">
        <v>28</v>
      </c>
      <c r="B17" s="5" t="s">
        <v>62</v>
      </c>
      <c r="C17" s="5" t="s">
        <v>18</v>
      </c>
      <c r="D17" s="8">
        <v>38133</v>
      </c>
      <c r="E17" s="24">
        <v>45725</v>
      </c>
    </row>
    <row r="18" spans="1:5" ht="15" x14ac:dyDescent="0.3">
      <c r="A18" s="14" t="s">
        <v>29</v>
      </c>
      <c r="B18" s="5" t="s">
        <v>63</v>
      </c>
      <c r="C18" s="5" t="s">
        <v>7</v>
      </c>
      <c r="D18" s="8">
        <v>38217</v>
      </c>
      <c r="E18" s="24">
        <v>45716</v>
      </c>
    </row>
    <row r="19" spans="1:5" ht="15" x14ac:dyDescent="0.3">
      <c r="A19" s="14" t="s">
        <v>30</v>
      </c>
      <c r="B19" s="5" t="s">
        <v>64</v>
      </c>
      <c r="C19" s="5" t="s">
        <v>10</v>
      </c>
      <c r="D19" s="8">
        <v>41154</v>
      </c>
      <c r="E19" s="24">
        <v>45712</v>
      </c>
    </row>
    <row r="20" spans="1:5" ht="15" x14ac:dyDescent="0.3">
      <c r="A20" s="14" t="s">
        <v>31</v>
      </c>
      <c r="B20" s="5" t="s">
        <v>65</v>
      </c>
      <c r="C20" s="5" t="s">
        <v>13</v>
      </c>
      <c r="D20" s="8">
        <v>45215</v>
      </c>
      <c r="E20" s="24">
        <v>45779</v>
      </c>
    </row>
    <row r="21" spans="1:5" ht="15" x14ac:dyDescent="0.3">
      <c r="A21" s="14" t="s">
        <v>32</v>
      </c>
      <c r="B21" s="5" t="s">
        <v>66</v>
      </c>
      <c r="C21" s="5" t="s">
        <v>10</v>
      </c>
      <c r="D21" s="8">
        <v>50946</v>
      </c>
      <c r="E21" s="24">
        <v>45742</v>
      </c>
    </row>
    <row r="22" spans="1:5" ht="15.6" thickBot="1" x14ac:dyDescent="0.35">
      <c r="A22" s="15" t="s">
        <v>33</v>
      </c>
      <c r="B22" s="16" t="s">
        <v>67</v>
      </c>
      <c r="C22" s="16" t="s">
        <v>18</v>
      </c>
      <c r="D22" s="17">
        <v>49103</v>
      </c>
      <c r="E22" s="25">
        <v>45684</v>
      </c>
    </row>
  </sheetData>
  <mergeCells count="3">
    <mergeCell ref="A1:E1"/>
    <mergeCell ref="G2:H2"/>
    <mergeCell ref="G3:H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D6A1-41B0-4592-BA55-CDFF0B4F18D3}">
  <dimension ref="A1:G26"/>
  <sheetViews>
    <sheetView workbookViewId="0">
      <selection sqref="A1:D1"/>
    </sheetView>
  </sheetViews>
  <sheetFormatPr defaultRowHeight="14.4" x14ac:dyDescent="0.3"/>
  <cols>
    <col min="1" max="1" width="15.77734375" customWidth="1"/>
    <col min="2" max="2" width="7.21875" bestFit="1" customWidth="1"/>
    <col min="3" max="3" width="13.33203125" bestFit="1" customWidth="1"/>
    <col min="4" max="4" width="17" bestFit="1" customWidth="1"/>
    <col min="6" max="7" width="12.77734375" customWidth="1"/>
  </cols>
  <sheetData>
    <row r="1" spans="1:7" ht="24" thickBot="1" x14ac:dyDescent="0.5">
      <c r="A1" s="27" t="s">
        <v>76</v>
      </c>
      <c r="B1" s="28"/>
      <c r="C1" s="28"/>
      <c r="D1" s="28"/>
      <c r="E1" s="26"/>
    </row>
    <row r="2" spans="1:7" ht="15" x14ac:dyDescent="0.3">
      <c r="A2" s="4" t="s">
        <v>46</v>
      </c>
      <c r="B2" s="4" t="s">
        <v>47</v>
      </c>
      <c r="C2" s="4" t="s">
        <v>48</v>
      </c>
      <c r="D2" s="4" t="s">
        <v>49</v>
      </c>
      <c r="F2" s="18" t="s">
        <v>69</v>
      </c>
      <c r="G2" s="19"/>
    </row>
    <row r="3" spans="1:7" ht="30" customHeight="1" x14ac:dyDescent="0.3">
      <c r="A3" s="2" t="s">
        <v>50</v>
      </c>
      <c r="B3" s="5" t="s">
        <v>51</v>
      </c>
      <c r="C3" s="29">
        <v>45000</v>
      </c>
      <c r="D3" s="5" t="s">
        <v>52</v>
      </c>
      <c r="F3" s="20" t="s">
        <v>68</v>
      </c>
      <c r="G3" s="21"/>
    </row>
    <row r="4" spans="1:7" ht="15" customHeight="1" x14ac:dyDescent="0.3">
      <c r="A4" s="2" t="s">
        <v>53</v>
      </c>
      <c r="B4" s="5" t="s">
        <v>54</v>
      </c>
      <c r="C4" s="29">
        <v>1200</v>
      </c>
      <c r="D4" s="5" t="s">
        <v>55</v>
      </c>
      <c r="F4" s="20"/>
      <c r="G4" s="21"/>
    </row>
    <row r="5" spans="1:7" ht="30" x14ac:dyDescent="0.3">
      <c r="A5" s="2" t="s">
        <v>56</v>
      </c>
      <c r="B5" s="5" t="s">
        <v>57</v>
      </c>
      <c r="C5" s="29">
        <v>18000</v>
      </c>
      <c r="D5" s="5" t="s">
        <v>58</v>
      </c>
      <c r="F5" s="20"/>
      <c r="G5" s="21"/>
    </row>
    <row r="6" spans="1:7" ht="30" x14ac:dyDescent="0.3">
      <c r="A6" s="2" t="s">
        <v>59</v>
      </c>
      <c r="B6" s="5" t="s">
        <v>60</v>
      </c>
      <c r="C6" s="29">
        <v>62000</v>
      </c>
      <c r="D6" s="5" t="s">
        <v>61</v>
      </c>
      <c r="F6" s="20"/>
      <c r="G6" s="21"/>
    </row>
    <row r="7" spans="1:7" ht="30" x14ac:dyDescent="0.3">
      <c r="A7" s="2" t="s">
        <v>71</v>
      </c>
      <c r="B7" s="5" t="s">
        <v>51</v>
      </c>
      <c r="C7" s="29">
        <v>49676</v>
      </c>
      <c r="D7" s="5" t="s">
        <v>6</v>
      </c>
      <c r="F7" s="20"/>
      <c r="G7" s="21"/>
    </row>
    <row r="8" spans="1:7" ht="15" customHeight="1" thickBot="1" x14ac:dyDescent="0.35">
      <c r="A8" s="2" t="s">
        <v>53</v>
      </c>
      <c r="B8" s="5" t="s">
        <v>54</v>
      </c>
      <c r="C8" s="29">
        <v>53454</v>
      </c>
      <c r="D8" s="5" t="s">
        <v>9</v>
      </c>
      <c r="F8" s="22"/>
      <c r="G8" s="23"/>
    </row>
    <row r="9" spans="1:7" ht="30" x14ac:dyDescent="0.3">
      <c r="A9" s="2" t="s">
        <v>56</v>
      </c>
      <c r="B9" s="5" t="s">
        <v>57</v>
      </c>
      <c r="C9" s="29">
        <v>51120</v>
      </c>
      <c r="D9" s="5" t="s">
        <v>12</v>
      </c>
    </row>
    <row r="10" spans="1:7" ht="30" x14ac:dyDescent="0.3">
      <c r="A10" s="2" t="s">
        <v>59</v>
      </c>
      <c r="B10" s="5" t="s">
        <v>60</v>
      </c>
      <c r="C10" s="29">
        <v>45125</v>
      </c>
      <c r="D10" s="5" t="s">
        <v>15</v>
      </c>
    </row>
    <row r="11" spans="1:7" ht="30" x14ac:dyDescent="0.3">
      <c r="A11" s="2" t="s">
        <v>72</v>
      </c>
      <c r="B11" s="5" t="s">
        <v>51</v>
      </c>
      <c r="C11" s="29">
        <v>61832</v>
      </c>
      <c r="D11" s="5" t="s">
        <v>17</v>
      </c>
    </row>
    <row r="12" spans="1:7" ht="15" x14ac:dyDescent="0.3">
      <c r="A12" s="2" t="s">
        <v>53</v>
      </c>
      <c r="B12" s="5" t="s">
        <v>54</v>
      </c>
      <c r="C12" s="29">
        <v>60931</v>
      </c>
      <c r="D12" s="5" t="s">
        <v>34</v>
      </c>
    </row>
    <row r="13" spans="1:7" ht="30" x14ac:dyDescent="0.3">
      <c r="A13" s="2" t="s">
        <v>56</v>
      </c>
      <c r="B13" s="5" t="s">
        <v>57</v>
      </c>
      <c r="C13" s="29">
        <v>59404</v>
      </c>
      <c r="D13" s="5" t="s">
        <v>35</v>
      </c>
    </row>
    <row r="14" spans="1:7" ht="30" x14ac:dyDescent="0.3">
      <c r="A14" s="2" t="s">
        <v>59</v>
      </c>
      <c r="B14" s="5" t="s">
        <v>60</v>
      </c>
      <c r="C14" s="29">
        <v>47849</v>
      </c>
      <c r="D14" s="5" t="s">
        <v>36</v>
      </c>
    </row>
    <row r="15" spans="1:7" ht="30" x14ac:dyDescent="0.3">
      <c r="A15" s="2" t="s">
        <v>73</v>
      </c>
      <c r="B15" s="5" t="s">
        <v>51</v>
      </c>
      <c r="C15" s="29">
        <v>58767</v>
      </c>
      <c r="D15" s="5" t="s">
        <v>37</v>
      </c>
    </row>
    <row r="16" spans="1:7" ht="15" x14ac:dyDescent="0.3">
      <c r="A16" s="2" t="s">
        <v>53</v>
      </c>
      <c r="B16" s="5" t="s">
        <v>54</v>
      </c>
      <c r="C16" s="29">
        <v>52005</v>
      </c>
      <c r="D16" s="5" t="s">
        <v>38</v>
      </c>
    </row>
    <row r="17" spans="1:4" ht="30" x14ac:dyDescent="0.3">
      <c r="A17" s="2" t="s">
        <v>56</v>
      </c>
      <c r="B17" s="5" t="s">
        <v>57</v>
      </c>
      <c r="C17" s="29">
        <v>46141</v>
      </c>
      <c r="D17" s="5" t="s">
        <v>39</v>
      </c>
    </row>
    <row r="18" spans="1:4" ht="30" x14ac:dyDescent="0.3">
      <c r="A18" s="2" t="s">
        <v>59</v>
      </c>
      <c r="B18" s="5" t="s">
        <v>60</v>
      </c>
      <c r="C18" s="29">
        <v>51276</v>
      </c>
      <c r="D18" s="5" t="s">
        <v>40</v>
      </c>
    </row>
    <row r="19" spans="1:4" ht="30" x14ac:dyDescent="0.3">
      <c r="A19" s="2" t="s">
        <v>74</v>
      </c>
      <c r="B19" s="5" t="s">
        <v>51</v>
      </c>
      <c r="C19" s="29">
        <v>56487</v>
      </c>
      <c r="D19" s="5" t="s">
        <v>41</v>
      </c>
    </row>
    <row r="20" spans="1:4" ht="15" x14ac:dyDescent="0.3">
      <c r="A20" s="2" t="s">
        <v>53</v>
      </c>
      <c r="B20" s="5" t="s">
        <v>54</v>
      </c>
      <c r="C20" s="29">
        <v>48531</v>
      </c>
      <c r="D20" s="5" t="s">
        <v>42</v>
      </c>
    </row>
    <row r="21" spans="1:4" ht="30" x14ac:dyDescent="0.3">
      <c r="A21" s="2" t="s">
        <v>56</v>
      </c>
      <c r="B21" s="5" t="s">
        <v>57</v>
      </c>
      <c r="C21" s="29">
        <v>45826</v>
      </c>
      <c r="D21" s="5" t="s">
        <v>62</v>
      </c>
    </row>
    <row r="22" spans="1:4" ht="30" x14ac:dyDescent="0.3">
      <c r="A22" s="2" t="s">
        <v>59</v>
      </c>
      <c r="B22" s="5" t="s">
        <v>60</v>
      </c>
      <c r="C22" s="29">
        <v>54689</v>
      </c>
      <c r="D22" s="5" t="s">
        <v>63</v>
      </c>
    </row>
    <row r="23" spans="1:4" ht="30" x14ac:dyDescent="0.3">
      <c r="A23" s="2" t="s">
        <v>75</v>
      </c>
      <c r="B23" s="5" t="s">
        <v>51</v>
      </c>
      <c r="C23" s="29">
        <v>54987</v>
      </c>
      <c r="D23" s="5" t="s">
        <v>64</v>
      </c>
    </row>
    <row r="24" spans="1:4" ht="15" x14ac:dyDescent="0.3">
      <c r="A24" s="2" t="s">
        <v>53</v>
      </c>
      <c r="B24" s="5" t="s">
        <v>54</v>
      </c>
      <c r="C24" s="29">
        <v>45244</v>
      </c>
      <c r="D24" s="5" t="s">
        <v>65</v>
      </c>
    </row>
    <row r="25" spans="1:4" ht="30" x14ac:dyDescent="0.3">
      <c r="A25" s="2" t="s">
        <v>56</v>
      </c>
      <c r="B25" s="5" t="s">
        <v>57</v>
      </c>
      <c r="C25" s="29">
        <v>50784</v>
      </c>
      <c r="D25" s="5" t="s">
        <v>66</v>
      </c>
    </row>
    <row r="26" spans="1:4" ht="30" x14ac:dyDescent="0.3">
      <c r="A26" s="2" t="s">
        <v>59</v>
      </c>
      <c r="B26" s="5" t="s">
        <v>60</v>
      </c>
      <c r="C26" s="29">
        <v>54801</v>
      </c>
      <c r="D26" s="5" t="s">
        <v>67</v>
      </c>
    </row>
  </sheetData>
  <mergeCells count="3">
    <mergeCell ref="F3:G8"/>
    <mergeCell ref="F2:G2"/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E891-FC3A-47E1-AFB5-FD41663BC0AA}">
  <dimension ref="A1:I22"/>
  <sheetViews>
    <sheetView workbookViewId="0">
      <selection activeCell="A3" sqref="A3"/>
    </sheetView>
  </sheetViews>
  <sheetFormatPr defaultRowHeight="14.4" x14ac:dyDescent="0.3"/>
  <cols>
    <col min="1" max="1" width="7.5546875" bestFit="1" customWidth="1"/>
    <col min="2" max="2" width="17" bestFit="1" customWidth="1"/>
    <col min="3" max="3" width="6.44140625" bestFit="1" customWidth="1"/>
    <col min="4" max="4" width="7.5546875" bestFit="1" customWidth="1"/>
    <col min="5" max="5" width="7.33203125" bestFit="1" customWidth="1"/>
    <col min="6" max="6" width="10.88671875" bestFit="1" customWidth="1"/>
    <col min="8" max="9" width="12.77734375" customWidth="1"/>
  </cols>
  <sheetData>
    <row r="1" spans="1:9" ht="24" thickBot="1" x14ac:dyDescent="0.35">
      <c r="A1" s="31" t="s">
        <v>91</v>
      </c>
      <c r="B1" s="32"/>
      <c r="C1" s="32"/>
      <c r="D1" s="32"/>
      <c r="E1" s="32"/>
      <c r="F1" s="32"/>
    </row>
    <row r="2" spans="1:9" ht="15" customHeight="1" x14ac:dyDescent="0.3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83</v>
      </c>
      <c r="H2" s="18" t="s">
        <v>90</v>
      </c>
      <c r="I2" s="19"/>
    </row>
    <row r="3" spans="1:9" ht="15" x14ac:dyDescent="0.3">
      <c r="A3" s="2">
        <v>1</v>
      </c>
      <c r="B3" s="2" t="s">
        <v>84</v>
      </c>
      <c r="C3" s="2">
        <v>78</v>
      </c>
      <c r="D3" s="2">
        <v>82</v>
      </c>
      <c r="E3" s="2">
        <v>74</v>
      </c>
      <c r="F3" s="30">
        <f>SUM(C3:E3)/300</f>
        <v>0.78</v>
      </c>
      <c r="H3" s="20" t="s">
        <v>89</v>
      </c>
      <c r="I3" s="21"/>
    </row>
    <row r="4" spans="1:9" ht="15" x14ac:dyDescent="0.3">
      <c r="A4" s="2">
        <v>2</v>
      </c>
      <c r="B4" s="2" t="s">
        <v>85</v>
      </c>
      <c r="C4" s="2">
        <v>65</v>
      </c>
      <c r="D4" s="2">
        <v>70</v>
      </c>
      <c r="E4" s="2">
        <v>68</v>
      </c>
      <c r="F4" s="30">
        <f t="shared" ref="F4:F22" si="0">SUM(C4:E4)/300</f>
        <v>0.67666666666666664</v>
      </c>
      <c r="H4" s="20"/>
      <c r="I4" s="21"/>
    </row>
    <row r="5" spans="1:9" ht="15" x14ac:dyDescent="0.3">
      <c r="A5" s="2">
        <v>3</v>
      </c>
      <c r="B5" s="2" t="s">
        <v>86</v>
      </c>
      <c r="C5" s="2">
        <v>90</v>
      </c>
      <c r="D5" s="2">
        <v>88</v>
      </c>
      <c r="E5" s="2">
        <v>92</v>
      </c>
      <c r="F5" s="30">
        <f t="shared" si="0"/>
        <v>0.9</v>
      </c>
      <c r="H5" s="20"/>
      <c r="I5" s="21"/>
    </row>
    <row r="6" spans="1:9" ht="15.6" thickBot="1" x14ac:dyDescent="0.35">
      <c r="A6" s="2">
        <v>4</v>
      </c>
      <c r="B6" s="2" t="s">
        <v>87</v>
      </c>
      <c r="C6" s="2">
        <v>35</v>
      </c>
      <c r="D6" s="2">
        <v>40</v>
      </c>
      <c r="E6" s="2">
        <v>38</v>
      </c>
      <c r="F6" s="30">
        <f t="shared" si="0"/>
        <v>0.37666666666666665</v>
      </c>
      <c r="H6" s="22"/>
      <c r="I6" s="23"/>
    </row>
    <row r="7" spans="1:9" ht="15" x14ac:dyDescent="0.3">
      <c r="A7" s="2">
        <v>5</v>
      </c>
      <c r="B7" s="2" t="s">
        <v>88</v>
      </c>
      <c r="C7" s="2">
        <v>55</v>
      </c>
      <c r="D7" s="2">
        <v>60</v>
      </c>
      <c r="E7" s="2">
        <v>58</v>
      </c>
      <c r="F7" s="30">
        <f t="shared" si="0"/>
        <v>0.57666666666666666</v>
      </c>
    </row>
    <row r="8" spans="1:9" ht="15" x14ac:dyDescent="0.3">
      <c r="A8" s="2">
        <v>6</v>
      </c>
      <c r="B8" s="5" t="s">
        <v>52</v>
      </c>
      <c r="C8" s="2">
        <v>90</v>
      </c>
      <c r="D8" s="2">
        <v>63</v>
      </c>
      <c r="E8" s="2">
        <v>81</v>
      </c>
      <c r="F8" s="30">
        <f t="shared" si="0"/>
        <v>0.78</v>
      </c>
    </row>
    <row r="9" spans="1:9" ht="15" x14ac:dyDescent="0.3">
      <c r="A9" s="2">
        <v>7</v>
      </c>
      <c r="B9" s="5" t="s">
        <v>55</v>
      </c>
      <c r="C9" s="2">
        <v>57</v>
      </c>
      <c r="D9" s="2">
        <v>72</v>
      </c>
      <c r="E9" s="2">
        <v>57</v>
      </c>
      <c r="F9" s="30">
        <f t="shared" si="0"/>
        <v>0.62</v>
      </c>
    </row>
    <row r="10" spans="1:9" ht="15" x14ac:dyDescent="0.3">
      <c r="A10" s="2">
        <v>8</v>
      </c>
      <c r="B10" s="5" t="s">
        <v>58</v>
      </c>
      <c r="C10" s="2">
        <v>82</v>
      </c>
      <c r="D10" s="2">
        <v>62</v>
      </c>
      <c r="E10" s="2">
        <v>82</v>
      </c>
      <c r="F10" s="30">
        <f t="shared" si="0"/>
        <v>0.7533333333333333</v>
      </c>
    </row>
    <row r="11" spans="1:9" ht="15" x14ac:dyDescent="0.3">
      <c r="A11" s="2">
        <v>9</v>
      </c>
      <c r="B11" s="5" t="s">
        <v>61</v>
      </c>
      <c r="C11" s="2">
        <v>75</v>
      </c>
      <c r="D11" s="2">
        <v>64</v>
      </c>
      <c r="E11" s="2">
        <v>80</v>
      </c>
      <c r="F11" s="30">
        <f t="shared" si="0"/>
        <v>0.73</v>
      </c>
    </row>
    <row r="12" spans="1:9" ht="15" x14ac:dyDescent="0.3">
      <c r="A12" s="2">
        <v>10</v>
      </c>
      <c r="B12" s="5" t="s">
        <v>6</v>
      </c>
      <c r="C12" s="2">
        <v>67</v>
      </c>
      <c r="D12" s="2">
        <v>58</v>
      </c>
      <c r="E12" s="2">
        <v>75</v>
      </c>
      <c r="F12" s="30">
        <f t="shared" si="0"/>
        <v>0.66666666666666663</v>
      </c>
    </row>
    <row r="13" spans="1:9" ht="15" x14ac:dyDescent="0.3">
      <c r="A13" s="2">
        <v>11</v>
      </c>
      <c r="B13" s="5" t="s">
        <v>9</v>
      </c>
      <c r="C13" s="2">
        <v>54</v>
      </c>
      <c r="D13" s="2">
        <v>93</v>
      </c>
      <c r="E13" s="2">
        <v>53</v>
      </c>
      <c r="F13" s="30">
        <f t="shared" si="0"/>
        <v>0.66666666666666663</v>
      </c>
    </row>
    <row r="14" spans="1:9" ht="15" x14ac:dyDescent="0.3">
      <c r="A14" s="2">
        <v>12</v>
      </c>
      <c r="B14" s="5" t="s">
        <v>12</v>
      </c>
      <c r="C14" s="2">
        <v>90</v>
      </c>
      <c r="D14" s="2">
        <v>74</v>
      </c>
      <c r="E14" s="2">
        <v>83</v>
      </c>
      <c r="F14" s="30">
        <f t="shared" si="0"/>
        <v>0.82333333333333336</v>
      </c>
    </row>
    <row r="15" spans="1:9" ht="15" x14ac:dyDescent="0.3">
      <c r="A15" s="2">
        <v>13</v>
      </c>
      <c r="B15" s="5" t="s">
        <v>15</v>
      </c>
      <c r="C15" s="2">
        <v>98</v>
      </c>
      <c r="D15" s="2">
        <v>50</v>
      </c>
      <c r="E15" s="2">
        <v>71</v>
      </c>
      <c r="F15" s="30">
        <f t="shared" si="0"/>
        <v>0.73</v>
      </c>
    </row>
    <row r="16" spans="1:9" ht="15" x14ac:dyDescent="0.3">
      <c r="A16" s="2">
        <v>14</v>
      </c>
      <c r="B16" s="5" t="s">
        <v>17</v>
      </c>
      <c r="C16" s="2">
        <v>58</v>
      </c>
      <c r="D16" s="2">
        <v>59</v>
      </c>
      <c r="E16" s="2">
        <v>90</v>
      </c>
      <c r="F16" s="30">
        <f t="shared" si="0"/>
        <v>0.69</v>
      </c>
    </row>
    <row r="17" spans="1:6" ht="15" x14ac:dyDescent="0.3">
      <c r="A17" s="2">
        <v>15</v>
      </c>
      <c r="B17" s="5" t="s">
        <v>34</v>
      </c>
      <c r="C17" s="2">
        <v>82</v>
      </c>
      <c r="D17" s="2">
        <v>91</v>
      </c>
      <c r="E17" s="2">
        <v>59</v>
      </c>
      <c r="F17" s="30">
        <f t="shared" si="0"/>
        <v>0.77333333333333332</v>
      </c>
    </row>
    <row r="18" spans="1:6" ht="15" x14ac:dyDescent="0.3">
      <c r="A18" s="2">
        <v>16</v>
      </c>
      <c r="B18" s="5" t="s">
        <v>35</v>
      </c>
      <c r="C18" s="2">
        <v>82</v>
      </c>
      <c r="D18" s="2">
        <v>72</v>
      </c>
      <c r="E18" s="2">
        <v>56</v>
      </c>
      <c r="F18" s="30">
        <f t="shared" si="0"/>
        <v>0.7</v>
      </c>
    </row>
    <row r="19" spans="1:6" ht="15" x14ac:dyDescent="0.3">
      <c r="A19" s="2">
        <v>17</v>
      </c>
      <c r="B19" s="5" t="s">
        <v>36</v>
      </c>
      <c r="C19" s="2">
        <v>66</v>
      </c>
      <c r="D19" s="2">
        <v>86</v>
      </c>
      <c r="E19" s="2">
        <v>76</v>
      </c>
      <c r="F19" s="30">
        <f t="shared" si="0"/>
        <v>0.76</v>
      </c>
    </row>
    <row r="20" spans="1:6" ht="15" x14ac:dyDescent="0.3">
      <c r="A20" s="2">
        <v>18</v>
      </c>
      <c r="B20" s="5" t="s">
        <v>37</v>
      </c>
      <c r="C20" s="2">
        <v>62</v>
      </c>
      <c r="D20" s="2">
        <v>56</v>
      </c>
      <c r="E20" s="2">
        <v>82</v>
      </c>
      <c r="F20" s="30">
        <f t="shared" si="0"/>
        <v>0.66666666666666663</v>
      </c>
    </row>
    <row r="21" spans="1:6" ht="15" x14ac:dyDescent="0.3">
      <c r="A21" s="2">
        <v>19</v>
      </c>
      <c r="B21" s="5" t="s">
        <v>38</v>
      </c>
      <c r="C21" s="2">
        <v>94</v>
      </c>
      <c r="D21" s="2">
        <v>73</v>
      </c>
      <c r="E21" s="2">
        <v>99</v>
      </c>
      <c r="F21" s="30">
        <f t="shared" si="0"/>
        <v>0.88666666666666671</v>
      </c>
    </row>
    <row r="22" spans="1:6" ht="15" x14ac:dyDescent="0.3">
      <c r="A22" s="2">
        <v>20</v>
      </c>
      <c r="B22" s="5" t="s">
        <v>39</v>
      </c>
      <c r="C22" s="2">
        <v>70</v>
      </c>
      <c r="D22" s="2">
        <v>88</v>
      </c>
      <c r="E22" s="2">
        <v>60</v>
      </c>
      <c r="F22" s="30">
        <f t="shared" si="0"/>
        <v>0.72666666666666668</v>
      </c>
    </row>
  </sheetData>
  <mergeCells count="3">
    <mergeCell ref="H3:I6"/>
    <mergeCell ref="H2:I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EDFB-5644-4051-9F51-D3890F0A6609}">
  <dimension ref="A1:I24"/>
  <sheetViews>
    <sheetView workbookViewId="0">
      <selection activeCell="A22" sqref="A22"/>
    </sheetView>
  </sheetViews>
  <sheetFormatPr defaultRowHeight="14.4" x14ac:dyDescent="0.3"/>
  <cols>
    <col min="1" max="1" width="10.33203125" bestFit="1" customWidth="1"/>
    <col min="2" max="2" width="9.33203125" bestFit="1" customWidth="1"/>
    <col min="3" max="3" width="13.33203125" bestFit="1" customWidth="1"/>
    <col min="5" max="6" width="12.77734375" customWidth="1"/>
  </cols>
  <sheetData>
    <row r="1" spans="1:9" ht="24" thickBot="1" x14ac:dyDescent="0.35">
      <c r="A1" s="34" t="s">
        <v>94</v>
      </c>
      <c r="B1" s="34"/>
      <c r="C1" s="34"/>
    </row>
    <row r="2" spans="1:9" ht="15" customHeight="1" x14ac:dyDescent="0.3">
      <c r="A2" s="4" t="s">
        <v>95</v>
      </c>
      <c r="B2" s="4" t="s">
        <v>96</v>
      </c>
      <c r="C2" s="4" t="s">
        <v>48</v>
      </c>
      <c r="E2" s="18" t="s">
        <v>92</v>
      </c>
      <c r="F2" s="19"/>
    </row>
    <row r="3" spans="1:9" ht="15" x14ac:dyDescent="0.3">
      <c r="A3" s="2" t="s">
        <v>100</v>
      </c>
      <c r="B3" s="35">
        <v>45299</v>
      </c>
      <c r="C3" s="2">
        <v>32000</v>
      </c>
      <c r="E3" s="20" t="s">
        <v>93</v>
      </c>
      <c r="F3" s="21"/>
    </row>
    <row r="4" spans="1:9" ht="15" x14ac:dyDescent="0.3">
      <c r="A4" s="2" t="s">
        <v>113</v>
      </c>
      <c r="B4" s="35">
        <v>45295</v>
      </c>
      <c r="C4" s="2">
        <v>31979</v>
      </c>
      <c r="E4" s="20"/>
      <c r="F4" s="21"/>
    </row>
    <row r="5" spans="1:9" ht="15" x14ac:dyDescent="0.3">
      <c r="A5" s="2" t="s">
        <v>114</v>
      </c>
      <c r="B5" s="35">
        <v>45297</v>
      </c>
      <c r="C5" s="2">
        <v>31666</v>
      </c>
      <c r="E5" s="20"/>
      <c r="F5" s="21"/>
    </row>
    <row r="6" spans="1:9" ht="15.6" thickBot="1" x14ac:dyDescent="0.35">
      <c r="A6" s="2" t="s">
        <v>110</v>
      </c>
      <c r="B6" s="35">
        <v>45301</v>
      </c>
      <c r="C6" s="2">
        <v>31528</v>
      </c>
      <c r="E6" s="22"/>
      <c r="F6" s="23"/>
      <c r="I6" s="33"/>
    </row>
    <row r="7" spans="1:9" ht="15" x14ac:dyDescent="0.3">
      <c r="A7" s="2" t="s">
        <v>111</v>
      </c>
      <c r="B7" s="35">
        <v>45297</v>
      </c>
      <c r="C7" s="2">
        <v>29579</v>
      </c>
      <c r="I7" s="33"/>
    </row>
    <row r="8" spans="1:9" ht="15" x14ac:dyDescent="0.3">
      <c r="A8" s="2" t="s">
        <v>112</v>
      </c>
      <c r="B8" s="35">
        <v>45296</v>
      </c>
      <c r="C8" s="2">
        <v>29470</v>
      </c>
      <c r="I8" s="33"/>
    </row>
    <row r="9" spans="1:9" ht="15" x14ac:dyDescent="0.3">
      <c r="A9" s="2" t="s">
        <v>102</v>
      </c>
      <c r="B9" s="35">
        <v>45295</v>
      </c>
      <c r="C9" s="2">
        <v>28724</v>
      </c>
      <c r="I9" s="33"/>
    </row>
    <row r="10" spans="1:9" ht="15" x14ac:dyDescent="0.3">
      <c r="A10" s="2" t="s">
        <v>116</v>
      </c>
      <c r="B10" s="35">
        <v>45293</v>
      </c>
      <c r="C10" s="2">
        <v>26607</v>
      </c>
      <c r="I10" s="33"/>
    </row>
    <row r="11" spans="1:9" ht="15" x14ac:dyDescent="0.3">
      <c r="A11" s="2" t="s">
        <v>98</v>
      </c>
      <c r="B11" s="35">
        <v>45294</v>
      </c>
      <c r="C11" s="2">
        <v>25000</v>
      </c>
    </row>
    <row r="12" spans="1:9" ht="15" x14ac:dyDescent="0.3">
      <c r="A12" s="2" t="s">
        <v>115</v>
      </c>
      <c r="B12" s="35">
        <v>45299</v>
      </c>
      <c r="C12" s="2">
        <v>21463</v>
      </c>
    </row>
    <row r="13" spans="1:9" ht="15" x14ac:dyDescent="0.3">
      <c r="A13" s="2" t="s">
        <v>103</v>
      </c>
      <c r="B13" s="35">
        <v>45294</v>
      </c>
      <c r="C13" s="2">
        <v>19779</v>
      </c>
    </row>
    <row r="14" spans="1:9" ht="15" x14ac:dyDescent="0.3">
      <c r="A14" s="2" t="s">
        <v>109</v>
      </c>
      <c r="B14" s="35">
        <v>45297</v>
      </c>
      <c r="C14" s="2">
        <v>17232</v>
      </c>
    </row>
    <row r="15" spans="1:9" ht="15" x14ac:dyDescent="0.3">
      <c r="A15" s="2" t="s">
        <v>105</v>
      </c>
      <c r="B15" s="35">
        <v>45294</v>
      </c>
      <c r="C15" s="2">
        <v>15437</v>
      </c>
    </row>
    <row r="16" spans="1:9" ht="15" x14ac:dyDescent="0.3">
      <c r="A16" s="2" t="s">
        <v>101</v>
      </c>
      <c r="B16" s="35">
        <v>45301</v>
      </c>
      <c r="C16" s="2">
        <v>15000</v>
      </c>
    </row>
    <row r="17" spans="1:3" ht="15" x14ac:dyDescent="0.3">
      <c r="A17" s="2" t="s">
        <v>107</v>
      </c>
      <c r="B17" s="35">
        <v>45300</v>
      </c>
      <c r="C17" s="2">
        <v>14389</v>
      </c>
    </row>
    <row r="18" spans="1:3" ht="15" x14ac:dyDescent="0.3">
      <c r="A18" s="2" t="s">
        <v>97</v>
      </c>
      <c r="B18" s="35">
        <v>45292</v>
      </c>
      <c r="C18" s="2">
        <v>12000</v>
      </c>
    </row>
    <row r="19" spans="1:3" ht="15" x14ac:dyDescent="0.3">
      <c r="A19" s="2" t="s">
        <v>106</v>
      </c>
      <c r="B19" s="35">
        <v>45299</v>
      </c>
      <c r="C19" s="2">
        <v>10420</v>
      </c>
    </row>
    <row r="20" spans="1:3" ht="15" x14ac:dyDescent="0.3">
      <c r="A20" s="2" t="s">
        <v>108</v>
      </c>
      <c r="B20" s="35">
        <v>45298</v>
      </c>
      <c r="C20" s="2">
        <v>9612</v>
      </c>
    </row>
    <row r="21" spans="1:3" ht="15" x14ac:dyDescent="0.3">
      <c r="A21" s="2" t="s">
        <v>104</v>
      </c>
      <c r="B21" s="35">
        <v>45300</v>
      </c>
      <c r="C21" s="2">
        <v>9472</v>
      </c>
    </row>
    <row r="22" spans="1:3" ht="15" x14ac:dyDescent="0.3">
      <c r="A22" s="2" t="s">
        <v>99</v>
      </c>
      <c r="B22" s="35">
        <v>45296</v>
      </c>
      <c r="C22" s="2">
        <v>8000</v>
      </c>
    </row>
    <row r="23" spans="1:3" x14ac:dyDescent="0.3">
      <c r="A23" s="39" t="s">
        <v>117</v>
      </c>
      <c r="B23" s="39"/>
      <c r="C23" s="37">
        <f>SUM(C3:C22)</f>
        <v>419357</v>
      </c>
    </row>
    <row r="24" spans="1:3" x14ac:dyDescent="0.3">
      <c r="A24" s="39" t="s">
        <v>118</v>
      </c>
      <c r="B24" s="39"/>
      <c r="C24" s="38">
        <f>AVERAGE(C3:C22)</f>
        <v>20967.849999999999</v>
      </c>
    </row>
  </sheetData>
  <mergeCells count="5">
    <mergeCell ref="A1:C1"/>
    <mergeCell ref="E2:F2"/>
    <mergeCell ref="E3:F6"/>
    <mergeCell ref="A23:B23"/>
    <mergeCell ref="A24:B24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C718-CAFA-4009-817F-2E0C805E2714}">
  <dimension ref="A1:I22"/>
  <sheetViews>
    <sheetView workbookViewId="0">
      <selection activeCell="A13" sqref="A13"/>
    </sheetView>
  </sheetViews>
  <sheetFormatPr defaultRowHeight="14.4" x14ac:dyDescent="0.3"/>
  <cols>
    <col min="1" max="1" width="15.5546875" bestFit="1" customWidth="1"/>
    <col min="2" max="2" width="11.88671875" bestFit="1" customWidth="1"/>
    <col min="3" max="3" width="6.44140625" bestFit="1" customWidth="1"/>
    <col min="5" max="5" width="11.88671875" bestFit="1" customWidth="1"/>
    <col min="6" max="6" width="26.44140625" customWidth="1"/>
  </cols>
  <sheetData>
    <row r="1" spans="1:9" ht="24" thickBot="1" x14ac:dyDescent="0.35">
      <c r="A1" s="34" t="s">
        <v>94</v>
      </c>
      <c r="B1" s="34"/>
      <c r="C1" s="34"/>
    </row>
    <row r="2" spans="1:9" ht="15" customHeight="1" x14ac:dyDescent="0.3">
      <c r="A2" s="4" t="s">
        <v>119</v>
      </c>
      <c r="B2" s="4" t="s">
        <v>2</v>
      </c>
      <c r="C2" s="4" t="s">
        <v>3</v>
      </c>
      <c r="H2" s="18" t="s">
        <v>127</v>
      </c>
      <c r="I2" s="19"/>
    </row>
    <row r="3" spans="1:9" ht="15" x14ac:dyDescent="0.3">
      <c r="A3" s="2" t="s">
        <v>120</v>
      </c>
      <c r="B3" s="35" t="s">
        <v>7</v>
      </c>
      <c r="C3" s="2">
        <v>28000</v>
      </c>
      <c r="E3" s="4" t="s">
        <v>2</v>
      </c>
      <c r="F3" s="3" t="s">
        <v>128</v>
      </c>
      <c r="H3" s="20" t="s">
        <v>126</v>
      </c>
      <c r="I3" s="21"/>
    </row>
    <row r="4" spans="1:9" ht="15" x14ac:dyDescent="0.3">
      <c r="A4" s="2" t="s">
        <v>121</v>
      </c>
      <c r="B4" s="35" t="s">
        <v>10</v>
      </c>
      <c r="C4" s="2">
        <v>45000</v>
      </c>
      <c r="E4" s="35" t="s">
        <v>7</v>
      </c>
      <c r="F4" s="40">
        <f>SUMIFS(C:C,B:B,E:E)</f>
        <v>262866</v>
      </c>
      <c r="H4" s="20"/>
      <c r="I4" s="21"/>
    </row>
    <row r="5" spans="1:9" ht="15" x14ac:dyDescent="0.3">
      <c r="A5" s="2" t="s">
        <v>122</v>
      </c>
      <c r="B5" s="35" t="s">
        <v>10</v>
      </c>
      <c r="C5" s="2">
        <v>50000</v>
      </c>
      <c r="E5" s="35" t="s">
        <v>10</v>
      </c>
      <c r="F5" s="40">
        <f>SUMIFS(C:C,B:B,E:E)</f>
        <v>291593</v>
      </c>
      <c r="H5" s="20"/>
      <c r="I5" s="21"/>
    </row>
    <row r="6" spans="1:9" ht="15.6" thickBot="1" x14ac:dyDescent="0.35">
      <c r="A6" s="2" t="s">
        <v>123</v>
      </c>
      <c r="B6" s="35" t="s">
        <v>13</v>
      </c>
      <c r="C6" s="2">
        <v>42000</v>
      </c>
      <c r="E6" s="35" t="s">
        <v>13</v>
      </c>
      <c r="F6" s="40">
        <f>SUMIFS(C:C,B:B,E:E)</f>
        <v>233830</v>
      </c>
      <c r="H6" s="22"/>
      <c r="I6" s="23"/>
    </row>
    <row r="7" spans="1:9" ht="15" x14ac:dyDescent="0.3">
      <c r="A7" s="2" t="s">
        <v>124</v>
      </c>
      <c r="B7" s="35" t="s">
        <v>7</v>
      </c>
      <c r="C7" s="2">
        <v>30000</v>
      </c>
      <c r="F7" s="33"/>
    </row>
    <row r="8" spans="1:9" ht="15" x14ac:dyDescent="0.3">
      <c r="A8" s="2" t="s">
        <v>125</v>
      </c>
      <c r="B8" s="35" t="s">
        <v>13</v>
      </c>
      <c r="C8" s="2">
        <v>38000</v>
      </c>
      <c r="E8" s="4" t="s">
        <v>2</v>
      </c>
      <c r="F8" s="4" t="s">
        <v>129</v>
      </c>
    </row>
    <row r="9" spans="1:9" ht="15" x14ac:dyDescent="0.3">
      <c r="A9" s="2" t="s">
        <v>84</v>
      </c>
      <c r="B9" s="35" t="s">
        <v>7</v>
      </c>
      <c r="C9" s="2">
        <v>41264</v>
      </c>
      <c r="E9" s="35" t="s">
        <v>7</v>
      </c>
      <c r="F9" s="40">
        <f>AVERAGEIF(B:B,E:E,C:C)</f>
        <v>37552.285714285717</v>
      </c>
    </row>
    <row r="10" spans="1:9" ht="15" x14ac:dyDescent="0.3">
      <c r="A10" s="2" t="s">
        <v>85</v>
      </c>
      <c r="B10" s="35" t="s">
        <v>10</v>
      </c>
      <c r="C10" s="2">
        <v>48401</v>
      </c>
      <c r="E10" s="35" t="s">
        <v>10</v>
      </c>
      <c r="F10" s="40">
        <f>AVERAGEIF(B:B,E:E,C:C)</f>
        <v>41656.142857142855</v>
      </c>
    </row>
    <row r="11" spans="1:9" ht="15" x14ac:dyDescent="0.3">
      <c r="A11" s="2" t="s">
        <v>86</v>
      </c>
      <c r="B11" s="35" t="s">
        <v>10</v>
      </c>
      <c r="C11" s="2">
        <v>32564</v>
      </c>
      <c r="E11" s="35" t="s">
        <v>13</v>
      </c>
      <c r="F11" s="40">
        <f>AVERAGEIF(B:B,E:E,C:C)</f>
        <v>38971.666666666664</v>
      </c>
    </row>
    <row r="12" spans="1:9" ht="15" x14ac:dyDescent="0.3">
      <c r="A12" s="2" t="s">
        <v>87</v>
      </c>
      <c r="B12" s="35" t="s">
        <v>13</v>
      </c>
      <c r="C12" s="2">
        <v>43108</v>
      </c>
    </row>
    <row r="13" spans="1:9" ht="15" x14ac:dyDescent="0.3">
      <c r="A13" s="2" t="s">
        <v>88</v>
      </c>
      <c r="B13" s="35" t="s">
        <v>7</v>
      </c>
      <c r="C13" s="2">
        <v>47501</v>
      </c>
      <c r="E13" s="4" t="s">
        <v>2</v>
      </c>
      <c r="F13" s="4" t="s">
        <v>128</v>
      </c>
    </row>
    <row r="14" spans="1:9" ht="15" x14ac:dyDescent="0.3">
      <c r="A14" s="2" t="s">
        <v>52</v>
      </c>
      <c r="B14" s="35" t="s">
        <v>13</v>
      </c>
      <c r="C14" s="2">
        <v>36468</v>
      </c>
      <c r="E14" s="35" t="s">
        <v>7</v>
      </c>
      <c r="F14" s="40">
        <f>COUNTIFS(B:B,E:E)</f>
        <v>7</v>
      </c>
    </row>
    <row r="15" spans="1:9" ht="15" x14ac:dyDescent="0.3">
      <c r="A15" s="2" t="s">
        <v>55</v>
      </c>
      <c r="B15" s="35" t="s">
        <v>7</v>
      </c>
      <c r="C15" s="2">
        <v>37208</v>
      </c>
      <c r="E15" s="35" t="s">
        <v>10</v>
      </c>
      <c r="F15" s="40">
        <f>COUNTIFS(B:B,E:E)</f>
        <v>7</v>
      </c>
    </row>
    <row r="16" spans="1:9" ht="15" x14ac:dyDescent="0.3">
      <c r="A16" s="2" t="s">
        <v>58</v>
      </c>
      <c r="B16" s="35" t="s">
        <v>10</v>
      </c>
      <c r="C16" s="2">
        <v>44093</v>
      </c>
      <c r="E16" s="35" t="s">
        <v>13</v>
      </c>
      <c r="F16" s="40">
        <f>COUNTIFS(B:B,E:E)</f>
        <v>6</v>
      </c>
    </row>
    <row r="17" spans="1:3" ht="15" x14ac:dyDescent="0.3">
      <c r="A17" s="2" t="s">
        <v>61</v>
      </c>
      <c r="B17" s="35" t="s">
        <v>10</v>
      </c>
      <c r="C17" s="2">
        <v>38583</v>
      </c>
    </row>
    <row r="18" spans="1:3" ht="15" x14ac:dyDescent="0.3">
      <c r="A18" s="2" t="s">
        <v>6</v>
      </c>
      <c r="B18" s="35" t="s">
        <v>13</v>
      </c>
      <c r="C18" s="2">
        <v>29178</v>
      </c>
    </row>
    <row r="19" spans="1:3" ht="15" x14ac:dyDescent="0.3">
      <c r="A19" s="2" t="s">
        <v>9</v>
      </c>
      <c r="B19" s="35" t="s">
        <v>7</v>
      </c>
      <c r="C19" s="2">
        <v>35673</v>
      </c>
    </row>
    <row r="20" spans="1:3" ht="15" x14ac:dyDescent="0.3">
      <c r="A20" s="2" t="s">
        <v>12</v>
      </c>
      <c r="B20" s="35" t="s">
        <v>13</v>
      </c>
      <c r="C20" s="2">
        <v>45076</v>
      </c>
    </row>
    <row r="21" spans="1:3" ht="15" x14ac:dyDescent="0.3">
      <c r="A21" s="2" t="s">
        <v>15</v>
      </c>
      <c r="B21" s="35" t="s">
        <v>7</v>
      </c>
      <c r="C21" s="2">
        <v>43220</v>
      </c>
    </row>
    <row r="22" spans="1:3" ht="15" x14ac:dyDescent="0.3">
      <c r="A22" s="2" t="s">
        <v>17</v>
      </c>
      <c r="B22" s="35" t="s">
        <v>10</v>
      </c>
      <c r="C22" s="2">
        <v>32952</v>
      </c>
    </row>
  </sheetData>
  <mergeCells count="3">
    <mergeCell ref="A1:C1"/>
    <mergeCell ref="H2:I2"/>
    <mergeCell ref="H3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7FB4-B276-4E1F-968C-A365EDB193E1}">
  <dimension ref="A1:K22"/>
  <sheetViews>
    <sheetView workbookViewId="0">
      <selection activeCell="A7" sqref="A7:A22"/>
    </sheetView>
  </sheetViews>
  <sheetFormatPr defaultRowHeight="14.4" x14ac:dyDescent="0.3"/>
  <cols>
    <col min="1" max="1" width="14" bestFit="1" customWidth="1"/>
    <col min="2" max="6" width="6.109375" bestFit="1" customWidth="1"/>
    <col min="7" max="7" width="7.5546875" bestFit="1" customWidth="1"/>
    <col min="8" max="8" width="7.21875" bestFit="1" customWidth="1"/>
  </cols>
  <sheetData>
    <row r="1" spans="1:11" ht="24" thickBot="1" x14ac:dyDescent="0.35">
      <c r="A1" s="34" t="s">
        <v>137</v>
      </c>
      <c r="B1" s="34"/>
      <c r="C1" s="34"/>
      <c r="D1" s="34"/>
      <c r="E1" s="34"/>
      <c r="F1" s="34"/>
      <c r="G1" s="34"/>
      <c r="H1" s="34"/>
    </row>
    <row r="2" spans="1:11" ht="15" x14ac:dyDescent="0.3">
      <c r="A2" s="4" t="s">
        <v>79</v>
      </c>
      <c r="B2" s="4" t="s">
        <v>130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140</v>
      </c>
      <c r="H2" s="4" t="s">
        <v>141</v>
      </c>
      <c r="J2" s="18" t="s">
        <v>138</v>
      </c>
      <c r="K2" s="19"/>
    </row>
    <row r="3" spans="1:11" x14ac:dyDescent="0.3">
      <c r="A3" s="36" t="s">
        <v>84</v>
      </c>
      <c r="B3" s="36" t="s">
        <v>135</v>
      </c>
      <c r="C3" s="36" t="s">
        <v>136</v>
      </c>
      <c r="D3" s="36" t="s">
        <v>135</v>
      </c>
      <c r="E3" s="36" t="s">
        <v>135</v>
      </c>
      <c r="F3" s="36" t="s">
        <v>135</v>
      </c>
      <c r="G3" s="36">
        <v>4</v>
      </c>
      <c r="H3" s="36">
        <v>1</v>
      </c>
      <c r="J3" s="20" t="s">
        <v>139</v>
      </c>
      <c r="K3" s="21"/>
    </row>
    <row r="4" spans="1:11" x14ac:dyDescent="0.3">
      <c r="A4" s="36" t="s">
        <v>85</v>
      </c>
      <c r="B4" s="36" t="s">
        <v>135</v>
      </c>
      <c r="C4" s="36" t="s">
        <v>135</v>
      </c>
      <c r="D4" s="36" t="s">
        <v>135</v>
      </c>
      <c r="E4" s="36" t="s">
        <v>136</v>
      </c>
      <c r="F4" s="36" t="s">
        <v>135</v>
      </c>
      <c r="G4" s="36">
        <v>4</v>
      </c>
      <c r="H4" s="36">
        <v>1</v>
      </c>
      <c r="J4" s="20"/>
      <c r="K4" s="21"/>
    </row>
    <row r="5" spans="1:11" x14ac:dyDescent="0.3">
      <c r="A5" s="36" t="s">
        <v>86</v>
      </c>
      <c r="B5" s="36" t="s">
        <v>136</v>
      </c>
      <c r="C5" s="36" t="s">
        <v>135</v>
      </c>
      <c r="D5" s="36" t="s">
        <v>135</v>
      </c>
      <c r="E5" s="36" t="s">
        <v>135</v>
      </c>
      <c r="F5" s="36" t="s">
        <v>135</v>
      </c>
      <c r="G5" s="36">
        <v>4</v>
      </c>
      <c r="H5" s="36">
        <v>1</v>
      </c>
      <c r="J5" s="20"/>
      <c r="K5" s="21"/>
    </row>
    <row r="6" spans="1:11" ht="15" thickBot="1" x14ac:dyDescent="0.35">
      <c r="A6" s="36" t="s">
        <v>87</v>
      </c>
      <c r="B6" s="36" t="s">
        <v>135</v>
      </c>
      <c r="C6" s="36" t="s">
        <v>136</v>
      </c>
      <c r="D6" s="36" t="s">
        <v>136</v>
      </c>
      <c r="E6" s="36" t="s">
        <v>135</v>
      </c>
      <c r="F6" s="36" t="s">
        <v>136</v>
      </c>
      <c r="G6" s="36">
        <v>2</v>
      </c>
      <c r="H6" s="36">
        <v>3</v>
      </c>
      <c r="J6" s="22"/>
      <c r="K6" s="23"/>
    </row>
    <row r="7" spans="1:11" ht="15" x14ac:dyDescent="0.3">
      <c r="A7" s="2" t="s">
        <v>120</v>
      </c>
      <c r="B7" s="36" t="s">
        <v>135</v>
      </c>
      <c r="C7" s="36" t="s">
        <v>136</v>
      </c>
      <c r="D7" s="36" t="s">
        <v>135</v>
      </c>
      <c r="E7" s="36" t="s">
        <v>135</v>
      </c>
      <c r="F7" s="36" t="s">
        <v>135</v>
      </c>
      <c r="G7" s="36">
        <v>4</v>
      </c>
      <c r="H7" s="36">
        <v>1</v>
      </c>
    </row>
    <row r="8" spans="1:11" ht="15" x14ac:dyDescent="0.3">
      <c r="A8" s="2" t="s">
        <v>121</v>
      </c>
      <c r="B8" s="36" t="s">
        <v>135</v>
      </c>
      <c r="C8" s="36" t="s">
        <v>135</v>
      </c>
      <c r="D8" s="36" t="s">
        <v>135</v>
      </c>
      <c r="E8" s="36" t="s">
        <v>136</v>
      </c>
      <c r="F8" s="36" t="s">
        <v>135</v>
      </c>
      <c r="G8" s="36">
        <v>4</v>
      </c>
      <c r="H8" s="36">
        <v>1</v>
      </c>
    </row>
    <row r="9" spans="1:11" ht="15" x14ac:dyDescent="0.3">
      <c r="A9" s="2" t="s">
        <v>122</v>
      </c>
      <c r="B9" s="36" t="s">
        <v>136</v>
      </c>
      <c r="C9" s="36" t="s">
        <v>135</v>
      </c>
      <c r="D9" s="36" t="s">
        <v>135</v>
      </c>
      <c r="E9" s="36" t="s">
        <v>135</v>
      </c>
      <c r="F9" s="36" t="s">
        <v>135</v>
      </c>
      <c r="G9" s="36">
        <v>4</v>
      </c>
      <c r="H9" s="36">
        <v>1</v>
      </c>
    </row>
    <row r="10" spans="1:11" ht="15" x14ac:dyDescent="0.3">
      <c r="A10" s="2" t="s">
        <v>123</v>
      </c>
      <c r="B10" s="36" t="s">
        <v>135</v>
      </c>
      <c r="C10" s="36" t="s">
        <v>136</v>
      </c>
      <c r="D10" s="36" t="s">
        <v>136</v>
      </c>
      <c r="E10" s="36" t="s">
        <v>135</v>
      </c>
      <c r="F10" s="36" t="s">
        <v>136</v>
      </c>
      <c r="G10" s="36">
        <v>2</v>
      </c>
      <c r="H10" s="36">
        <v>3</v>
      </c>
    </row>
    <row r="11" spans="1:11" ht="15" x14ac:dyDescent="0.3">
      <c r="A11" s="2" t="s">
        <v>124</v>
      </c>
      <c r="B11" s="36" t="s">
        <v>135</v>
      </c>
      <c r="C11" s="36" t="s">
        <v>136</v>
      </c>
      <c r="D11" s="36" t="s">
        <v>135</v>
      </c>
      <c r="E11" s="36" t="s">
        <v>135</v>
      </c>
      <c r="F11" s="36" t="s">
        <v>135</v>
      </c>
      <c r="G11" s="36">
        <v>4</v>
      </c>
      <c r="H11" s="36">
        <v>1</v>
      </c>
    </row>
    <row r="12" spans="1:11" ht="15" x14ac:dyDescent="0.3">
      <c r="A12" s="2" t="s">
        <v>125</v>
      </c>
      <c r="B12" s="36" t="s">
        <v>135</v>
      </c>
      <c r="C12" s="36" t="s">
        <v>135</v>
      </c>
      <c r="D12" s="36" t="s">
        <v>135</v>
      </c>
      <c r="E12" s="36" t="s">
        <v>136</v>
      </c>
      <c r="F12" s="36" t="s">
        <v>135</v>
      </c>
      <c r="G12" s="36">
        <v>4</v>
      </c>
      <c r="H12" s="36">
        <v>1</v>
      </c>
    </row>
    <row r="13" spans="1:11" ht="15" x14ac:dyDescent="0.3">
      <c r="A13" s="2" t="s">
        <v>84</v>
      </c>
      <c r="B13" s="36" t="s">
        <v>136</v>
      </c>
      <c r="C13" s="36" t="s">
        <v>135</v>
      </c>
      <c r="D13" s="36" t="s">
        <v>135</v>
      </c>
      <c r="E13" s="36" t="s">
        <v>135</v>
      </c>
      <c r="F13" s="36" t="s">
        <v>135</v>
      </c>
      <c r="G13" s="36">
        <v>4</v>
      </c>
      <c r="H13" s="36">
        <v>1</v>
      </c>
    </row>
    <row r="14" spans="1:11" ht="15" x14ac:dyDescent="0.3">
      <c r="A14" s="2" t="s">
        <v>85</v>
      </c>
      <c r="B14" s="36" t="s">
        <v>135</v>
      </c>
      <c r="C14" s="36" t="s">
        <v>136</v>
      </c>
      <c r="D14" s="36" t="s">
        <v>136</v>
      </c>
      <c r="E14" s="36" t="s">
        <v>135</v>
      </c>
      <c r="F14" s="36" t="s">
        <v>136</v>
      </c>
      <c r="G14" s="36">
        <v>2</v>
      </c>
      <c r="H14" s="36">
        <v>3</v>
      </c>
    </row>
    <row r="15" spans="1:11" ht="15" x14ac:dyDescent="0.3">
      <c r="A15" s="2" t="s">
        <v>86</v>
      </c>
      <c r="B15" s="36" t="s">
        <v>135</v>
      </c>
      <c r="C15" s="36" t="s">
        <v>136</v>
      </c>
      <c r="D15" s="36" t="s">
        <v>135</v>
      </c>
      <c r="E15" s="36" t="s">
        <v>135</v>
      </c>
      <c r="F15" s="36" t="s">
        <v>135</v>
      </c>
      <c r="G15" s="36">
        <v>4</v>
      </c>
      <c r="H15" s="36">
        <v>1</v>
      </c>
    </row>
    <row r="16" spans="1:11" ht="15" x14ac:dyDescent="0.3">
      <c r="A16" s="2" t="s">
        <v>87</v>
      </c>
      <c r="B16" s="36" t="s">
        <v>135</v>
      </c>
      <c r="C16" s="36" t="s">
        <v>135</v>
      </c>
      <c r="D16" s="36" t="s">
        <v>135</v>
      </c>
      <c r="E16" s="36" t="s">
        <v>136</v>
      </c>
      <c r="F16" s="36" t="s">
        <v>135</v>
      </c>
      <c r="G16" s="36">
        <v>4</v>
      </c>
      <c r="H16" s="36">
        <v>1</v>
      </c>
    </row>
    <row r="17" spans="1:8" ht="15" x14ac:dyDescent="0.3">
      <c r="A17" s="2" t="s">
        <v>88</v>
      </c>
      <c r="B17" s="36" t="s">
        <v>136</v>
      </c>
      <c r="C17" s="36" t="s">
        <v>135</v>
      </c>
      <c r="D17" s="36" t="s">
        <v>135</v>
      </c>
      <c r="E17" s="36" t="s">
        <v>135</v>
      </c>
      <c r="F17" s="36" t="s">
        <v>135</v>
      </c>
      <c r="G17" s="36">
        <v>4</v>
      </c>
      <c r="H17" s="36">
        <v>1</v>
      </c>
    </row>
    <row r="18" spans="1:8" ht="15" x14ac:dyDescent="0.3">
      <c r="A18" s="2" t="s">
        <v>52</v>
      </c>
      <c r="B18" s="36" t="s">
        <v>135</v>
      </c>
      <c r="C18" s="36" t="s">
        <v>136</v>
      </c>
      <c r="D18" s="36" t="s">
        <v>136</v>
      </c>
      <c r="E18" s="36" t="s">
        <v>135</v>
      </c>
      <c r="F18" s="36" t="s">
        <v>136</v>
      </c>
      <c r="G18" s="36">
        <v>2</v>
      </c>
      <c r="H18" s="36">
        <v>3</v>
      </c>
    </row>
    <row r="19" spans="1:8" ht="15" x14ac:dyDescent="0.3">
      <c r="A19" s="2" t="s">
        <v>55</v>
      </c>
      <c r="B19" s="36" t="s">
        <v>135</v>
      </c>
      <c r="C19" s="36" t="s">
        <v>136</v>
      </c>
      <c r="D19" s="36" t="s">
        <v>135</v>
      </c>
      <c r="E19" s="36" t="s">
        <v>135</v>
      </c>
      <c r="F19" s="36" t="s">
        <v>135</v>
      </c>
      <c r="G19" s="36">
        <v>4</v>
      </c>
      <c r="H19" s="36">
        <v>1</v>
      </c>
    </row>
    <row r="20" spans="1:8" ht="15" x14ac:dyDescent="0.3">
      <c r="A20" s="2" t="s">
        <v>58</v>
      </c>
      <c r="B20" s="36" t="s">
        <v>135</v>
      </c>
      <c r="C20" s="36" t="s">
        <v>135</v>
      </c>
      <c r="D20" s="36" t="s">
        <v>135</v>
      </c>
      <c r="E20" s="36" t="s">
        <v>136</v>
      </c>
      <c r="F20" s="36" t="s">
        <v>135</v>
      </c>
      <c r="G20" s="36">
        <v>4</v>
      </c>
      <c r="H20" s="36">
        <v>1</v>
      </c>
    </row>
    <row r="21" spans="1:8" ht="15" x14ac:dyDescent="0.3">
      <c r="A21" s="2" t="s">
        <v>61</v>
      </c>
      <c r="B21" s="36" t="s">
        <v>136</v>
      </c>
      <c r="C21" s="36" t="s">
        <v>135</v>
      </c>
      <c r="D21" s="36" t="s">
        <v>135</v>
      </c>
      <c r="E21" s="36" t="s">
        <v>135</v>
      </c>
      <c r="F21" s="36" t="s">
        <v>135</v>
      </c>
      <c r="G21" s="36">
        <v>4</v>
      </c>
      <c r="H21" s="36">
        <v>1</v>
      </c>
    </row>
    <row r="22" spans="1:8" ht="15" x14ac:dyDescent="0.3">
      <c r="A22" s="2" t="s">
        <v>6</v>
      </c>
      <c r="B22" s="36" t="s">
        <v>135</v>
      </c>
      <c r="C22" s="36" t="s">
        <v>136</v>
      </c>
      <c r="D22" s="36" t="s">
        <v>136</v>
      </c>
      <c r="E22" s="36" t="s">
        <v>135</v>
      </c>
      <c r="F22" s="36" t="s">
        <v>136</v>
      </c>
      <c r="G22" s="36">
        <v>2</v>
      </c>
      <c r="H22" s="36">
        <v>3</v>
      </c>
    </row>
  </sheetData>
  <mergeCells count="3">
    <mergeCell ref="J2:K2"/>
    <mergeCell ref="J3:K6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F57B-0895-423B-A19F-B9D2C38B25B8}">
  <dimension ref="A1:E22"/>
  <sheetViews>
    <sheetView workbookViewId="0">
      <selection sqref="A1:B1"/>
    </sheetView>
  </sheetViews>
  <sheetFormatPr defaultRowHeight="14.4" x14ac:dyDescent="0.3"/>
  <cols>
    <col min="1" max="1" width="8.77734375" bestFit="1" customWidth="1"/>
    <col min="2" max="2" width="13.33203125" bestFit="1" customWidth="1"/>
    <col min="4" max="4" width="21.5546875" bestFit="1" customWidth="1"/>
  </cols>
  <sheetData>
    <row r="1" spans="1:5" ht="24" thickBot="1" x14ac:dyDescent="0.35">
      <c r="A1" s="42" t="s">
        <v>18</v>
      </c>
      <c r="B1" s="43"/>
    </row>
    <row r="2" spans="1:5" ht="15" x14ac:dyDescent="0.3">
      <c r="A2" s="4" t="s">
        <v>142</v>
      </c>
      <c r="B2" s="4" t="s">
        <v>48</v>
      </c>
      <c r="D2" s="18" t="s">
        <v>44</v>
      </c>
      <c r="E2" s="19"/>
    </row>
    <row r="3" spans="1:5" x14ac:dyDescent="0.3">
      <c r="A3" s="36" t="s">
        <v>143</v>
      </c>
      <c r="B3" s="36">
        <v>4500</v>
      </c>
      <c r="D3" s="44" t="s">
        <v>163</v>
      </c>
      <c r="E3" s="45">
        <f>COUNTIFS(B:B,"&gt;10000")</f>
        <v>13</v>
      </c>
    </row>
    <row r="4" spans="1:5" ht="15" thickBot="1" x14ac:dyDescent="0.35">
      <c r="A4" s="36" t="s">
        <v>144</v>
      </c>
      <c r="B4" s="36">
        <v>12000</v>
      </c>
      <c r="D4" s="46" t="s">
        <v>164</v>
      </c>
      <c r="E4" s="47">
        <f>COUNTIFS(B:B,"&lt;5000")</f>
        <v>5</v>
      </c>
    </row>
    <row r="5" spans="1:5" x14ac:dyDescent="0.3">
      <c r="A5" s="36" t="s">
        <v>145</v>
      </c>
      <c r="B5" s="36">
        <v>8000</v>
      </c>
    </row>
    <row r="6" spans="1:5" x14ac:dyDescent="0.3">
      <c r="A6" s="36" t="s">
        <v>146</v>
      </c>
      <c r="B6" s="36">
        <v>25000</v>
      </c>
    </row>
    <row r="7" spans="1:5" x14ac:dyDescent="0.3">
      <c r="A7" s="36" t="s">
        <v>147</v>
      </c>
      <c r="B7" s="36">
        <v>3000</v>
      </c>
    </row>
    <row r="8" spans="1:5" x14ac:dyDescent="0.3">
      <c r="A8" s="36" t="s">
        <v>148</v>
      </c>
      <c r="B8" s="36">
        <v>15000</v>
      </c>
    </row>
    <row r="9" spans="1:5" x14ac:dyDescent="0.3">
      <c r="A9" s="36" t="s">
        <v>149</v>
      </c>
      <c r="B9" s="36">
        <v>23723</v>
      </c>
    </row>
    <row r="10" spans="1:5" x14ac:dyDescent="0.3">
      <c r="A10" s="36" t="s">
        <v>150</v>
      </c>
      <c r="B10" s="36">
        <v>24671</v>
      </c>
    </row>
    <row r="11" spans="1:5" x14ac:dyDescent="0.3">
      <c r="A11" s="36" t="s">
        <v>151</v>
      </c>
      <c r="B11" s="36">
        <v>12862</v>
      </c>
    </row>
    <row r="12" spans="1:5" x14ac:dyDescent="0.3">
      <c r="A12" s="36" t="s">
        <v>152</v>
      </c>
      <c r="B12" s="36">
        <v>23023</v>
      </c>
    </row>
    <row r="13" spans="1:5" x14ac:dyDescent="0.3">
      <c r="A13" s="36" t="s">
        <v>153</v>
      </c>
      <c r="B13" s="36">
        <v>16654</v>
      </c>
    </row>
    <row r="14" spans="1:5" x14ac:dyDescent="0.3">
      <c r="A14" s="36" t="s">
        <v>154</v>
      </c>
      <c r="B14" s="36">
        <v>13038</v>
      </c>
    </row>
    <row r="15" spans="1:5" x14ac:dyDescent="0.3">
      <c r="A15" s="36" t="s">
        <v>155</v>
      </c>
      <c r="B15" s="36">
        <v>3713</v>
      </c>
    </row>
    <row r="16" spans="1:5" x14ac:dyDescent="0.3">
      <c r="A16" s="36" t="s">
        <v>156</v>
      </c>
      <c r="B16" s="36">
        <v>8173</v>
      </c>
    </row>
    <row r="17" spans="1:2" x14ac:dyDescent="0.3">
      <c r="A17" s="36" t="s">
        <v>157</v>
      </c>
      <c r="B17" s="36">
        <v>19616</v>
      </c>
    </row>
    <row r="18" spans="1:2" x14ac:dyDescent="0.3">
      <c r="A18" s="36" t="s">
        <v>158</v>
      </c>
      <c r="B18" s="36">
        <v>15153</v>
      </c>
    </row>
    <row r="19" spans="1:2" x14ac:dyDescent="0.3">
      <c r="A19" s="36" t="s">
        <v>159</v>
      </c>
      <c r="B19" s="36">
        <v>4561</v>
      </c>
    </row>
    <row r="20" spans="1:2" x14ac:dyDescent="0.3">
      <c r="A20" s="36" t="s">
        <v>160</v>
      </c>
      <c r="B20" s="36">
        <v>4793</v>
      </c>
    </row>
    <row r="21" spans="1:2" x14ac:dyDescent="0.3">
      <c r="A21" s="36" t="s">
        <v>161</v>
      </c>
      <c r="B21" s="36">
        <v>24006</v>
      </c>
    </row>
    <row r="22" spans="1:2" x14ac:dyDescent="0.3">
      <c r="A22" s="36" t="s">
        <v>162</v>
      </c>
      <c r="B22" s="36">
        <v>23518</v>
      </c>
    </row>
  </sheetData>
  <mergeCells count="2">
    <mergeCell ref="A1:B1"/>
    <mergeCell ref="D2:E2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14D0-CBEE-4680-A1F8-2A228C9C58F4}">
  <dimension ref="A1:E22"/>
  <sheetViews>
    <sheetView workbookViewId="0">
      <selection sqref="A1:B1"/>
    </sheetView>
  </sheetViews>
  <sheetFormatPr defaultRowHeight="14.4" x14ac:dyDescent="0.3"/>
  <cols>
    <col min="1" max="1" width="11.109375" bestFit="1" customWidth="1"/>
    <col min="2" max="2" width="13.33203125" bestFit="1" customWidth="1"/>
    <col min="4" max="5" width="12.77734375" customWidth="1"/>
  </cols>
  <sheetData>
    <row r="1" spans="1:5" ht="24" thickBot="1" x14ac:dyDescent="0.35">
      <c r="A1" s="42" t="s">
        <v>18</v>
      </c>
      <c r="B1" s="43"/>
    </row>
    <row r="2" spans="1:5" ht="15" x14ac:dyDescent="0.3">
      <c r="A2" s="4" t="s">
        <v>165</v>
      </c>
      <c r="B2" s="4" t="s">
        <v>48</v>
      </c>
      <c r="D2" s="18" t="s">
        <v>138</v>
      </c>
      <c r="E2" s="19"/>
    </row>
    <row r="3" spans="1:5" x14ac:dyDescent="0.3">
      <c r="A3" s="36" t="s">
        <v>166</v>
      </c>
      <c r="B3" s="36">
        <v>22000</v>
      </c>
      <c r="D3" s="20" t="s">
        <v>171</v>
      </c>
      <c r="E3" s="21"/>
    </row>
    <row r="4" spans="1:5" x14ac:dyDescent="0.3">
      <c r="A4" s="36" t="s">
        <v>167</v>
      </c>
      <c r="B4" s="36">
        <v>3500</v>
      </c>
      <c r="D4" s="20"/>
      <c r="E4" s="21"/>
    </row>
    <row r="5" spans="1:5" x14ac:dyDescent="0.3">
      <c r="A5" s="36" t="s">
        <v>168</v>
      </c>
      <c r="B5" s="36">
        <v>58000</v>
      </c>
      <c r="D5" s="20"/>
      <c r="E5" s="21"/>
    </row>
    <row r="6" spans="1:5" ht="15" thickBot="1" x14ac:dyDescent="0.35">
      <c r="A6" s="36" t="s">
        <v>169</v>
      </c>
      <c r="B6" s="36">
        <v>1800</v>
      </c>
      <c r="D6" s="22"/>
      <c r="E6" s="23"/>
    </row>
    <row r="7" spans="1:5" x14ac:dyDescent="0.3">
      <c r="A7" s="36" t="s">
        <v>170</v>
      </c>
      <c r="B7" s="36">
        <v>12000</v>
      </c>
    </row>
    <row r="8" spans="1:5" x14ac:dyDescent="0.3">
      <c r="A8" s="36" t="s">
        <v>166</v>
      </c>
      <c r="B8" s="36">
        <v>12788</v>
      </c>
    </row>
    <row r="9" spans="1:5" x14ac:dyDescent="0.3">
      <c r="A9" s="36" t="s">
        <v>167</v>
      </c>
      <c r="B9" s="36">
        <v>3591</v>
      </c>
    </row>
    <row r="10" spans="1:5" x14ac:dyDescent="0.3">
      <c r="A10" s="36" t="s">
        <v>168</v>
      </c>
      <c r="B10" s="36">
        <v>21779</v>
      </c>
    </row>
    <row r="11" spans="1:5" x14ac:dyDescent="0.3">
      <c r="A11" s="36" t="s">
        <v>169</v>
      </c>
      <c r="B11" s="36">
        <v>8341</v>
      </c>
    </row>
    <row r="12" spans="1:5" x14ac:dyDescent="0.3">
      <c r="A12" s="36" t="s">
        <v>170</v>
      </c>
      <c r="B12" s="36">
        <v>10455</v>
      </c>
    </row>
    <row r="13" spans="1:5" x14ac:dyDescent="0.3">
      <c r="A13" s="36" t="s">
        <v>166</v>
      </c>
      <c r="B13" s="36">
        <v>5304</v>
      </c>
    </row>
    <row r="14" spans="1:5" x14ac:dyDescent="0.3">
      <c r="A14" s="36" t="s">
        <v>167</v>
      </c>
      <c r="B14" s="36">
        <v>13140</v>
      </c>
    </row>
    <row r="15" spans="1:5" x14ac:dyDescent="0.3">
      <c r="A15" s="36" t="s">
        <v>168</v>
      </c>
      <c r="B15" s="36">
        <v>20243</v>
      </c>
    </row>
    <row r="16" spans="1:5" x14ac:dyDescent="0.3">
      <c r="A16" s="36" t="s">
        <v>169</v>
      </c>
      <c r="B16" s="36">
        <v>11733</v>
      </c>
    </row>
    <row r="17" spans="1:2" x14ac:dyDescent="0.3">
      <c r="A17" s="36" t="s">
        <v>170</v>
      </c>
      <c r="B17" s="36">
        <v>6862</v>
      </c>
    </row>
    <row r="18" spans="1:2" x14ac:dyDescent="0.3">
      <c r="A18" s="36" t="s">
        <v>166</v>
      </c>
      <c r="B18" s="36">
        <v>4963</v>
      </c>
    </row>
    <row r="19" spans="1:2" x14ac:dyDescent="0.3">
      <c r="A19" s="36" t="s">
        <v>167</v>
      </c>
      <c r="B19" s="36">
        <v>4506</v>
      </c>
    </row>
    <row r="20" spans="1:2" x14ac:dyDescent="0.3">
      <c r="A20" s="36" t="s">
        <v>168</v>
      </c>
      <c r="B20" s="36">
        <v>21843</v>
      </c>
    </row>
    <row r="21" spans="1:2" x14ac:dyDescent="0.3">
      <c r="A21" s="36" t="s">
        <v>169</v>
      </c>
      <c r="B21" s="36">
        <v>14370</v>
      </c>
    </row>
    <row r="22" spans="1:2" x14ac:dyDescent="0.3">
      <c r="A22" s="36" t="s">
        <v>170</v>
      </c>
      <c r="B22" s="36">
        <v>4246</v>
      </c>
    </row>
  </sheetData>
  <mergeCells count="3">
    <mergeCell ref="D2:E2"/>
    <mergeCell ref="D3:E6"/>
    <mergeCell ref="A1:B1"/>
  </mergeCells>
  <conditionalFormatting sqref="B3:B22">
    <cfRule type="cellIs" dxfId="6" priority="1" operator="lessThan">
      <formula>5000</formula>
    </cfRule>
    <cfRule type="cellIs" dxfId="5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ABC2-DAD3-4A32-86B9-F009F54E4541}">
  <dimension ref="A1:G22"/>
  <sheetViews>
    <sheetView workbookViewId="0">
      <selection activeCell="A2" sqref="A2"/>
    </sheetView>
  </sheetViews>
  <sheetFormatPr defaultRowHeight="14.4" x14ac:dyDescent="0.3"/>
  <cols>
    <col min="1" max="1" width="7.5546875" bestFit="1" customWidth="1"/>
    <col min="2" max="2" width="7.6640625" bestFit="1" customWidth="1"/>
    <col min="3" max="3" width="6.44140625" bestFit="1" customWidth="1"/>
  </cols>
  <sheetData>
    <row r="1" spans="1:7" ht="24" thickBot="1" x14ac:dyDescent="0.35">
      <c r="A1" s="41" t="s">
        <v>177</v>
      </c>
      <c r="B1" s="32"/>
      <c r="C1" s="32"/>
    </row>
    <row r="2" spans="1:7" ht="15" x14ac:dyDescent="0.3">
      <c r="A2" s="4" t="s">
        <v>78</v>
      </c>
      <c r="B2" s="4" t="s">
        <v>1</v>
      </c>
      <c r="C2" s="4" t="s">
        <v>172</v>
      </c>
      <c r="F2" s="18" t="s">
        <v>138</v>
      </c>
      <c r="G2" s="19"/>
    </row>
    <row r="3" spans="1:7" x14ac:dyDescent="0.3">
      <c r="A3" s="36">
        <v>1</v>
      </c>
      <c r="B3" s="36" t="s">
        <v>124</v>
      </c>
      <c r="C3" s="36">
        <v>85</v>
      </c>
      <c r="F3" s="20" t="s">
        <v>178</v>
      </c>
      <c r="G3" s="21"/>
    </row>
    <row r="4" spans="1:7" x14ac:dyDescent="0.3">
      <c r="A4" s="36">
        <v>2</v>
      </c>
      <c r="B4" s="36" t="s">
        <v>173</v>
      </c>
      <c r="C4" s="36">
        <v>72</v>
      </c>
      <c r="F4" s="20"/>
      <c r="G4" s="21"/>
    </row>
    <row r="5" spans="1:7" x14ac:dyDescent="0.3">
      <c r="A5" s="36">
        <v>3</v>
      </c>
      <c r="B5" s="36" t="s">
        <v>174</v>
      </c>
      <c r="C5" s="36">
        <v>39</v>
      </c>
      <c r="F5" s="20"/>
      <c r="G5" s="21"/>
    </row>
    <row r="6" spans="1:7" ht="15" thickBot="1" x14ac:dyDescent="0.35">
      <c r="A6" s="36">
        <v>4</v>
      </c>
      <c r="B6" s="36" t="s">
        <v>175</v>
      </c>
      <c r="C6" s="36">
        <v>91</v>
      </c>
      <c r="F6" s="22"/>
      <c r="G6" s="23"/>
    </row>
    <row r="7" spans="1:7" x14ac:dyDescent="0.3">
      <c r="A7" s="36">
        <v>5</v>
      </c>
      <c r="B7" s="36" t="s">
        <v>176</v>
      </c>
      <c r="C7" s="36">
        <v>28</v>
      </c>
    </row>
    <row r="8" spans="1:7" ht="15" x14ac:dyDescent="0.3">
      <c r="A8" s="36">
        <v>6</v>
      </c>
      <c r="B8" s="5" t="s">
        <v>120</v>
      </c>
      <c r="C8" s="36">
        <v>99</v>
      </c>
    </row>
    <row r="9" spans="1:7" ht="15" x14ac:dyDescent="0.3">
      <c r="A9" s="36">
        <v>7</v>
      </c>
      <c r="B9" s="5" t="s">
        <v>121</v>
      </c>
      <c r="C9" s="36">
        <v>64</v>
      </c>
    </row>
    <row r="10" spans="1:7" ht="15" x14ac:dyDescent="0.3">
      <c r="A10" s="36">
        <v>8</v>
      </c>
      <c r="B10" s="5" t="s">
        <v>122</v>
      </c>
      <c r="C10" s="36">
        <v>71</v>
      </c>
    </row>
    <row r="11" spans="1:7" ht="15" x14ac:dyDescent="0.3">
      <c r="A11" s="36">
        <v>9</v>
      </c>
      <c r="B11" s="5" t="s">
        <v>123</v>
      </c>
      <c r="C11" s="36">
        <v>55</v>
      </c>
    </row>
    <row r="12" spans="1:7" ht="15" x14ac:dyDescent="0.3">
      <c r="A12" s="36">
        <v>10</v>
      </c>
      <c r="B12" s="5" t="s">
        <v>124</v>
      </c>
      <c r="C12" s="36">
        <v>58</v>
      </c>
    </row>
    <row r="13" spans="1:7" ht="15" x14ac:dyDescent="0.3">
      <c r="A13" s="36">
        <v>11</v>
      </c>
      <c r="B13" s="5" t="s">
        <v>125</v>
      </c>
      <c r="C13" s="36">
        <v>95</v>
      </c>
    </row>
    <row r="14" spans="1:7" ht="15" x14ac:dyDescent="0.3">
      <c r="A14" s="36">
        <v>12</v>
      </c>
      <c r="B14" s="5" t="s">
        <v>84</v>
      </c>
      <c r="C14" s="36">
        <v>41</v>
      </c>
    </row>
    <row r="15" spans="1:7" ht="15" x14ac:dyDescent="0.3">
      <c r="A15" s="36">
        <v>13</v>
      </c>
      <c r="B15" s="5" t="s">
        <v>85</v>
      </c>
      <c r="C15" s="36">
        <v>60</v>
      </c>
    </row>
    <row r="16" spans="1:7" ht="15" x14ac:dyDescent="0.3">
      <c r="A16" s="36">
        <v>14</v>
      </c>
      <c r="B16" s="5" t="s">
        <v>86</v>
      </c>
      <c r="C16" s="36">
        <v>85</v>
      </c>
    </row>
    <row r="17" spans="1:3" ht="15" x14ac:dyDescent="0.3">
      <c r="A17" s="36">
        <v>15</v>
      </c>
      <c r="B17" s="5" t="s">
        <v>87</v>
      </c>
      <c r="C17" s="36">
        <v>78</v>
      </c>
    </row>
    <row r="18" spans="1:3" ht="15" x14ac:dyDescent="0.3">
      <c r="A18" s="36">
        <v>16</v>
      </c>
      <c r="B18" s="5" t="s">
        <v>88</v>
      </c>
      <c r="C18" s="36">
        <v>43</v>
      </c>
    </row>
    <row r="19" spans="1:3" ht="15" x14ac:dyDescent="0.3">
      <c r="A19" s="36">
        <v>17</v>
      </c>
      <c r="B19" s="5" t="s">
        <v>52</v>
      </c>
      <c r="C19" s="36">
        <v>73</v>
      </c>
    </row>
    <row r="20" spans="1:3" ht="15" x14ac:dyDescent="0.3">
      <c r="A20" s="36">
        <v>18</v>
      </c>
      <c r="B20" s="5" t="s">
        <v>55</v>
      </c>
      <c r="C20" s="36">
        <v>63</v>
      </c>
    </row>
    <row r="21" spans="1:3" ht="15" x14ac:dyDescent="0.3">
      <c r="A21" s="36">
        <v>19</v>
      </c>
      <c r="B21" s="5" t="s">
        <v>58</v>
      </c>
      <c r="C21" s="36">
        <v>100</v>
      </c>
    </row>
    <row r="22" spans="1:3" ht="15" x14ac:dyDescent="0.3">
      <c r="A22" s="36">
        <v>20</v>
      </c>
      <c r="B22" s="5" t="s">
        <v>61</v>
      </c>
      <c r="C22" s="36">
        <v>55</v>
      </c>
    </row>
  </sheetData>
  <mergeCells count="3">
    <mergeCell ref="F2:G2"/>
    <mergeCell ref="F3:G6"/>
    <mergeCell ref="A1:C1"/>
  </mergeCells>
  <conditionalFormatting sqref="C3:C22">
    <cfRule type="cellIs" dxfId="4" priority="1" operator="lessThan">
      <formula>40</formula>
    </cfRule>
    <cfRule type="cellIs" dxfId="3" priority="2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532B-8ACA-47C0-A2F5-89CD4CD73C9B}">
  <dimension ref="A1:E22"/>
  <sheetViews>
    <sheetView workbookViewId="0">
      <selection sqref="A1:B1"/>
    </sheetView>
  </sheetViews>
  <sheetFormatPr defaultRowHeight="14.4" x14ac:dyDescent="0.3"/>
  <cols>
    <col min="1" max="1" width="15.5546875" bestFit="1" customWidth="1"/>
    <col min="2" max="2" width="6.44140625" bestFit="1" customWidth="1"/>
    <col min="4" max="5" width="12.77734375" customWidth="1"/>
  </cols>
  <sheetData>
    <row r="1" spans="1:5" ht="24" thickBot="1" x14ac:dyDescent="0.35">
      <c r="A1" s="34" t="s">
        <v>177</v>
      </c>
      <c r="B1" s="34"/>
      <c r="C1" s="48"/>
    </row>
    <row r="2" spans="1:5" ht="15" x14ac:dyDescent="0.3">
      <c r="A2" s="4" t="s">
        <v>119</v>
      </c>
      <c r="B2" s="4" t="s">
        <v>3</v>
      </c>
      <c r="D2" s="18" t="s">
        <v>138</v>
      </c>
      <c r="E2" s="19"/>
    </row>
    <row r="3" spans="1:5" x14ac:dyDescent="0.3">
      <c r="A3" s="36" t="s">
        <v>70</v>
      </c>
      <c r="B3" s="36">
        <v>28000</v>
      </c>
      <c r="D3" s="20" t="s">
        <v>183</v>
      </c>
      <c r="E3" s="21"/>
    </row>
    <row r="4" spans="1:5" x14ac:dyDescent="0.3">
      <c r="A4" s="36" t="s">
        <v>179</v>
      </c>
      <c r="B4" s="36">
        <v>34000</v>
      </c>
      <c r="D4" s="20"/>
      <c r="E4" s="21"/>
    </row>
    <row r="5" spans="1:5" x14ac:dyDescent="0.3">
      <c r="A5" s="36" t="s">
        <v>180</v>
      </c>
      <c r="B5" s="36">
        <v>51000</v>
      </c>
      <c r="D5" s="20"/>
      <c r="E5" s="21"/>
    </row>
    <row r="6" spans="1:5" ht="15" thickBot="1" x14ac:dyDescent="0.35">
      <c r="A6" s="36" t="s">
        <v>181</v>
      </c>
      <c r="B6" s="36">
        <v>47000</v>
      </c>
      <c r="D6" s="22"/>
      <c r="E6" s="23"/>
    </row>
    <row r="7" spans="1:5" x14ac:dyDescent="0.3">
      <c r="A7" s="36" t="s">
        <v>182</v>
      </c>
      <c r="B7" s="36">
        <v>29000</v>
      </c>
    </row>
    <row r="8" spans="1:5" ht="15" x14ac:dyDescent="0.3">
      <c r="A8" s="5" t="s">
        <v>120</v>
      </c>
      <c r="B8" s="36">
        <v>32354</v>
      </c>
    </row>
    <row r="9" spans="1:5" ht="15" x14ac:dyDescent="0.3">
      <c r="A9" s="5" t="s">
        <v>121</v>
      </c>
      <c r="B9" s="36">
        <v>49369</v>
      </c>
    </row>
    <row r="10" spans="1:5" ht="15" x14ac:dyDescent="0.3">
      <c r="A10" s="5" t="s">
        <v>122</v>
      </c>
      <c r="B10" s="36">
        <v>44266</v>
      </c>
    </row>
    <row r="11" spans="1:5" ht="15" x14ac:dyDescent="0.3">
      <c r="A11" s="5" t="s">
        <v>123</v>
      </c>
      <c r="B11" s="36">
        <v>45832</v>
      </c>
    </row>
    <row r="12" spans="1:5" ht="15" x14ac:dyDescent="0.3">
      <c r="A12" s="5" t="s">
        <v>124</v>
      </c>
      <c r="B12" s="36">
        <v>31381</v>
      </c>
    </row>
    <row r="13" spans="1:5" ht="15" x14ac:dyDescent="0.3">
      <c r="A13" s="5" t="s">
        <v>125</v>
      </c>
      <c r="B13" s="36">
        <v>46216</v>
      </c>
    </row>
    <row r="14" spans="1:5" ht="15" x14ac:dyDescent="0.3">
      <c r="A14" s="5" t="s">
        <v>84</v>
      </c>
      <c r="B14" s="36">
        <v>48626</v>
      </c>
    </row>
    <row r="15" spans="1:5" ht="15" x14ac:dyDescent="0.3">
      <c r="A15" s="5" t="s">
        <v>85</v>
      </c>
      <c r="B15" s="36">
        <v>36100</v>
      </c>
    </row>
    <row r="16" spans="1:5" ht="15" x14ac:dyDescent="0.3">
      <c r="A16" s="5" t="s">
        <v>86</v>
      </c>
      <c r="B16" s="36">
        <v>39133</v>
      </c>
    </row>
    <row r="17" spans="1:2" ht="15" x14ac:dyDescent="0.3">
      <c r="A17" s="5" t="s">
        <v>87</v>
      </c>
      <c r="B17" s="36">
        <v>38800</v>
      </c>
    </row>
    <row r="18" spans="1:2" ht="15" x14ac:dyDescent="0.3">
      <c r="A18" s="5" t="s">
        <v>88</v>
      </c>
      <c r="B18" s="36">
        <v>48142</v>
      </c>
    </row>
    <row r="19" spans="1:2" ht="15" x14ac:dyDescent="0.3">
      <c r="A19" s="5" t="s">
        <v>52</v>
      </c>
      <c r="B19" s="36">
        <v>37369</v>
      </c>
    </row>
    <row r="20" spans="1:2" ht="15" x14ac:dyDescent="0.3">
      <c r="A20" s="5" t="s">
        <v>55</v>
      </c>
      <c r="B20" s="36">
        <v>39415</v>
      </c>
    </row>
    <row r="21" spans="1:2" ht="15" x14ac:dyDescent="0.3">
      <c r="A21" s="5" t="s">
        <v>58</v>
      </c>
      <c r="B21" s="36">
        <v>47990</v>
      </c>
    </row>
    <row r="22" spans="1:2" ht="15" x14ac:dyDescent="0.3">
      <c r="A22" s="5" t="s">
        <v>61</v>
      </c>
      <c r="B22" s="36">
        <v>43445</v>
      </c>
    </row>
  </sheetData>
  <mergeCells count="3">
    <mergeCell ref="D2:E2"/>
    <mergeCell ref="D3:E6"/>
    <mergeCell ref="A1:B1"/>
  </mergeCells>
  <conditionalFormatting sqref="B3:B22">
    <cfRule type="cellIs" dxfId="0" priority="3" operator="between">
      <formula>30000</formula>
      <formula>49999</formula>
    </cfRule>
    <cfRule type="cellIs" dxfId="1" priority="2" operator="lessThan">
      <formula>30000</formula>
    </cfRule>
    <cfRule type="cellIs" dxfId="2" priority="1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Shahista Shaikh</dc:creator>
  <cp:lastModifiedBy>Shahista Shaikh</cp:lastModifiedBy>
  <dcterms:created xsi:type="dcterms:W3CDTF">2026-01-24T14:46:01Z</dcterms:created>
  <dcterms:modified xsi:type="dcterms:W3CDTF">2026-01-25T05:08:09Z</dcterms:modified>
</cp:coreProperties>
</file>