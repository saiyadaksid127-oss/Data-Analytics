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i\OneDrive\Desktop\Github\Data-Analytics\"/>
    </mc:Choice>
  </mc:AlternateContent>
  <xr:revisionPtr revIDLastSave="0" documentId="13_ncr:1_{AC678541-D3C8-4C51-851F-545CB80CA94D}" xr6:coauthVersionLast="47" xr6:coauthVersionMax="47" xr10:uidLastSave="{00000000-0000-0000-0000-000000000000}"/>
  <bookViews>
    <workbookView xWindow="-108" yWindow="-108" windowWidth="23256" windowHeight="12456" activeTab="9" xr2:uid="{76D54776-8C04-4A08-81E4-616D91B1F77B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  <sheet name="Task 6" sheetId="6" r:id="rId6"/>
    <sheet name="Task 7" sheetId="7" r:id="rId7"/>
    <sheet name="Task 8" sheetId="8" r:id="rId8"/>
    <sheet name="Task 9" sheetId="9" r:id="rId9"/>
    <sheet name="Task 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0" l="1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2" i="10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" i="9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2" i="8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2" i="7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2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" i="2"/>
  <c r="D24" i="1"/>
  <c r="D20" i="1"/>
  <c r="D19" i="1"/>
  <c r="D16" i="1"/>
  <c r="D12" i="1"/>
  <c r="D11" i="1"/>
  <c r="D8" i="1"/>
  <c r="D3" i="1"/>
  <c r="D4" i="1"/>
  <c r="D5" i="1"/>
  <c r="D6" i="1"/>
  <c r="D7" i="1"/>
  <c r="D9" i="1"/>
  <c r="D10" i="1"/>
  <c r="D13" i="1"/>
  <c r="D14" i="1"/>
  <c r="D15" i="1"/>
  <c r="D17" i="1"/>
  <c r="D18" i="1"/>
  <c r="D21" i="1"/>
  <c r="D22" i="1"/>
  <c r="D23" i="1"/>
  <c r="D25" i="1"/>
  <c r="D26" i="1"/>
  <c r="D2" i="1"/>
</calcChain>
</file>

<file path=xl/sharedStrings.xml><?xml version="1.0" encoding="utf-8"?>
<sst xmlns="http://schemas.openxmlformats.org/spreadsheetml/2006/main" count="450" uniqueCount="79">
  <si>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</si>
  <si>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</si>
  <si>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</si>
  <si>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</si>
  <si>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</si>
  <si>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</si>
  <si>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</si>
  <si>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</si>
  <si>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</si>
  <si>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Aakash</t>
  </si>
  <si>
    <t>Bhavya</t>
  </si>
  <si>
    <t>Chirag</t>
  </si>
  <si>
    <t>Divya</t>
  </si>
  <si>
    <t>Esha</t>
  </si>
  <si>
    <t>Ramesh</t>
  </si>
  <si>
    <t>Sneha</t>
  </si>
  <si>
    <t>Arjun</t>
  </si>
  <si>
    <t>Kavita</t>
  </si>
  <si>
    <t>Amit Sharma</t>
  </si>
  <si>
    <t>Neha Verma</t>
  </si>
  <si>
    <t>Rahul Mehta</t>
  </si>
  <si>
    <t>Pooja Singh</t>
  </si>
  <si>
    <t>Ankit Patel</t>
  </si>
  <si>
    <t>Anshu Patel</t>
  </si>
  <si>
    <t>Ankit Sharma</t>
  </si>
  <si>
    <t>Ayush Bhagle</t>
  </si>
  <si>
    <t>Vinod Kumar</t>
  </si>
  <si>
    <t>Bharat Kumar</t>
  </si>
  <si>
    <t>Goutam Ghambhir</t>
  </si>
  <si>
    <t>Task
If Marks ≥ 40 → Pass
Else → Fail</t>
  </si>
  <si>
    <t>Employee Name</t>
  </si>
  <si>
    <t>Salary</t>
  </si>
  <si>
    <t>Bonus Status</t>
  </si>
  <si>
    <t>Rohit</t>
  </si>
  <si>
    <t>Simran</t>
  </si>
  <si>
    <t>Vijay</t>
  </si>
  <si>
    <t>Nisha</t>
  </si>
  <si>
    <t>Suresh</t>
  </si>
  <si>
    <t>Meena</t>
  </si>
  <si>
    <t>Karan</t>
  </si>
  <si>
    <t>Ritu</t>
  </si>
  <si>
    <t>Neel</t>
  </si>
  <si>
    <t>Task
Salary ≥ 40000 → Bonus
Else → No Bonus</t>
  </si>
  <si>
    <t>Grade</t>
  </si>
  <si>
    <t>Task
≥ 75 → A
≥ 60 → B
≥ 40 → C
&lt; 40 → Fail</t>
  </si>
  <si>
    <t>Name</t>
  </si>
  <si>
    <t>Age</t>
  </si>
  <si>
    <t>Experience (Years)</t>
  </si>
  <si>
    <t>Eligible</t>
  </si>
  <si>
    <t>Task
Age ≥ 21 AND Experience ≥ 1 → Eligible</t>
  </si>
  <si>
    <t>Attendance %</t>
  </si>
  <si>
    <t>Assignment Submitted</t>
  </si>
  <si>
    <t>Yes</t>
  </si>
  <si>
    <t>No</t>
  </si>
  <si>
    <t>Task
Attendance ≥ 75 AND Assignment = Yes</t>
  </si>
  <si>
    <t>Customer Name</t>
  </si>
  <si>
    <t>Purchase Amount</t>
  </si>
  <si>
    <t>Membership</t>
  </si>
  <si>
    <t>Discount</t>
  </si>
  <si>
    <t>Bhavna</t>
  </si>
  <si>
    <t>Task
Purchase ≥ 10000 OR Membership = Yes</t>
  </si>
  <si>
    <t>Applicant</t>
  </si>
  <si>
    <t>CIBIL Score</t>
  </si>
  <si>
    <t>Loan Status</t>
  </si>
  <si>
    <t>Task
Salary ≥ 40000 OR CIBIL ≥ 700</t>
  </si>
  <si>
    <t>Present</t>
  </si>
  <si>
    <t>Status</t>
  </si>
  <si>
    <t>TRUE</t>
  </si>
  <si>
    <t>FALSE</t>
  </si>
  <si>
    <t>Task
If NOT Present → Absent
Else → Present</t>
  </si>
  <si>
    <t>Number 1</t>
  </si>
  <si>
    <t>Number 2</t>
  </si>
  <si>
    <t>Task
Divide Number 1 by Number 2
If error → show "Invalid"</t>
  </si>
  <si>
    <t>Targets Achieved</t>
  </si>
  <si>
    <t>Performance</t>
  </si>
  <si>
    <t>Raj</t>
  </si>
  <si>
    <t>Sunita</t>
  </si>
  <si>
    <t>Manoj</t>
  </si>
  <si>
    <t>Task
Attendance ≥ 90 AND Targets ≥ 40 → Excellent
Attendance ≥ 80 → Good
Else → Needs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</si>
</sst>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F2328"/>
      <name val="Segoe UI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2"/>
      <name val="Segoe UI"/>
      <family val="2"/>
    </font>
    <font>
      <sz val="14"/>
      <color rgb="FF1F2328"/>
      <name val="Segoe UI"/>
      <family val="2"/>
    </font>
    <font>
      <sz val="14"/>
      <color theme="0"/>
      <name val="Segoe UI"/>
      <family val="2"/>
    </font>
    <font>
      <sz val="16"/>
      <color theme="0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3EA33-0F6D-4BB6-B271-F3F280CF0947}">
  <dimension ref="A1:I26"/>
  <sheetViews>
    <sheetView workbookViewId="0">
      <selection activeCell="A4" sqref="A4"/>
    </sheetView>
  </sheetViews>
  <sheetFormatPr defaultRowHeight="14.4" x14ac:dyDescent="0.3"/>
  <cols>
    <col min="1" max="1" width="11.21875" bestFit="1" customWidth="1"/>
    <col min="2" max="2" width="21.21875" bestFit="1" customWidth="1"/>
    <col min="3" max="3" width="9.88671875" bestFit="1" customWidth="1"/>
    <col min="4" max="4" width="9.77734375" bestFit="1" customWidth="1"/>
  </cols>
  <sheetData>
    <row r="1" spans="1:9" ht="23.4" x14ac:dyDescent="0.45">
      <c r="A1" s="5" t="s">
        <v>0</v>
      </c>
      <c r="B1" s="5" t="s">
        <v>1</v>
      </c>
      <c r="C1" s="5" t="s">
        <v>2</v>
      </c>
      <c r="D1" s="5" t="s">
        <v>3</v>
      </c>
    </row>
    <row r="2" spans="1:9" x14ac:dyDescent="0.3">
      <c r="A2" s="1">
        <v>1</v>
      </c>
      <c r="B2" s="1" t="s">
        <v>4</v>
      </c>
      <c r="C2" s="1">
        <v>78</v>
      </c>
      <c r="D2" s="1" t="str">
        <f>IF(C2&gt;=40,"Pass","Fail")</f>
        <v>Pass</v>
      </c>
      <c r="F2" s="3" t="s">
        <v>29</v>
      </c>
      <c r="G2" s="3"/>
      <c r="H2" s="3"/>
      <c r="I2" s="3"/>
    </row>
    <row r="3" spans="1:9" x14ac:dyDescent="0.3">
      <c r="A3" s="1">
        <v>2</v>
      </c>
      <c r="B3" s="1" t="s">
        <v>5</v>
      </c>
      <c r="C3" s="1">
        <v>35</v>
      </c>
      <c r="D3" s="1" t="str">
        <f t="shared" ref="D3:D26" si="0">IF(C3&gt;=40,"Pass","Fail")</f>
        <v>Fail</v>
      </c>
      <c r="F3" s="3"/>
      <c r="G3" s="3"/>
      <c r="H3" s="3"/>
      <c r="I3" s="3"/>
    </row>
    <row r="4" spans="1:9" x14ac:dyDescent="0.3">
      <c r="A4" s="1">
        <v>3</v>
      </c>
      <c r="B4" s="1" t="s">
        <v>6</v>
      </c>
      <c r="C4" s="1">
        <v>62</v>
      </c>
      <c r="D4" s="1" t="str">
        <f t="shared" si="0"/>
        <v>Pass</v>
      </c>
      <c r="F4" s="3"/>
      <c r="G4" s="3"/>
      <c r="H4" s="3"/>
      <c r="I4" s="3"/>
    </row>
    <row r="5" spans="1:9" x14ac:dyDescent="0.3">
      <c r="A5" s="1">
        <v>4</v>
      </c>
      <c r="B5" s="1" t="s">
        <v>7</v>
      </c>
      <c r="C5" s="1">
        <v>40</v>
      </c>
      <c r="D5" s="1" t="str">
        <f t="shared" si="0"/>
        <v>Pass</v>
      </c>
    </row>
    <row r="6" spans="1:9" x14ac:dyDescent="0.3">
      <c r="A6" s="1">
        <v>5</v>
      </c>
      <c r="B6" s="1" t="s">
        <v>8</v>
      </c>
      <c r="C6" s="1">
        <v>28</v>
      </c>
      <c r="D6" s="1" t="str">
        <f t="shared" si="0"/>
        <v>Fail</v>
      </c>
    </row>
    <row r="7" spans="1:9" x14ac:dyDescent="0.3">
      <c r="A7" s="1">
        <v>6</v>
      </c>
      <c r="B7" s="1" t="s">
        <v>9</v>
      </c>
      <c r="C7" s="1">
        <v>95</v>
      </c>
      <c r="D7" s="1" t="str">
        <f t="shared" si="0"/>
        <v>Pass</v>
      </c>
    </row>
    <row r="8" spans="1:9" x14ac:dyDescent="0.3">
      <c r="A8" s="1">
        <v>7</v>
      </c>
      <c r="B8" s="1" t="s">
        <v>10</v>
      </c>
      <c r="C8" s="1">
        <v>38</v>
      </c>
      <c r="D8" s="1" t="str">
        <f t="shared" si="0"/>
        <v>Fail</v>
      </c>
    </row>
    <row r="9" spans="1:9" x14ac:dyDescent="0.3">
      <c r="A9" s="1">
        <v>8</v>
      </c>
      <c r="B9" s="1" t="s">
        <v>11</v>
      </c>
      <c r="C9" s="1">
        <v>27</v>
      </c>
      <c r="D9" s="1" t="str">
        <f t="shared" si="0"/>
        <v>Fail</v>
      </c>
    </row>
    <row r="10" spans="1:9" x14ac:dyDescent="0.3">
      <c r="A10" s="1">
        <v>9</v>
      </c>
      <c r="B10" s="1" t="s">
        <v>12</v>
      </c>
      <c r="C10" s="1">
        <v>31</v>
      </c>
      <c r="D10" s="1" t="str">
        <f t="shared" si="0"/>
        <v>Fail</v>
      </c>
    </row>
    <row r="11" spans="1:9" x14ac:dyDescent="0.3">
      <c r="A11" s="1">
        <v>10</v>
      </c>
      <c r="B11" s="1" t="s">
        <v>13</v>
      </c>
      <c r="C11" s="1">
        <v>45</v>
      </c>
      <c r="D11" s="1" t="str">
        <f t="shared" si="0"/>
        <v>Pass</v>
      </c>
    </row>
    <row r="12" spans="1:9" x14ac:dyDescent="0.3">
      <c r="A12" s="1">
        <v>11</v>
      </c>
      <c r="B12" s="1" t="s">
        <v>14</v>
      </c>
      <c r="C12" s="1">
        <v>47</v>
      </c>
      <c r="D12" s="1" t="str">
        <f t="shared" si="0"/>
        <v>Pass</v>
      </c>
    </row>
    <row r="13" spans="1:9" x14ac:dyDescent="0.3">
      <c r="A13" s="1">
        <v>12</v>
      </c>
      <c r="B13" s="1" t="s">
        <v>15</v>
      </c>
      <c r="C13" s="1">
        <v>17</v>
      </c>
      <c r="D13" s="1" t="str">
        <f t="shared" si="0"/>
        <v>Fail</v>
      </c>
    </row>
    <row r="14" spans="1:9" x14ac:dyDescent="0.3">
      <c r="A14" s="1">
        <v>13</v>
      </c>
      <c r="B14" s="1" t="s">
        <v>16</v>
      </c>
      <c r="C14" s="1">
        <v>7</v>
      </c>
      <c r="D14" s="1" t="str">
        <f t="shared" si="0"/>
        <v>Fail</v>
      </c>
    </row>
    <row r="15" spans="1:9" x14ac:dyDescent="0.3">
      <c r="A15" s="1">
        <v>14</v>
      </c>
      <c r="B15" s="1" t="s">
        <v>17</v>
      </c>
      <c r="C15" s="1">
        <v>10</v>
      </c>
      <c r="D15" s="1" t="str">
        <f t="shared" si="0"/>
        <v>Fail</v>
      </c>
    </row>
    <row r="16" spans="1:9" x14ac:dyDescent="0.3">
      <c r="A16" s="1">
        <v>15</v>
      </c>
      <c r="B16" s="1" t="s">
        <v>18</v>
      </c>
      <c r="C16" s="1">
        <v>9</v>
      </c>
      <c r="D16" s="1" t="str">
        <f t="shared" si="0"/>
        <v>Fail</v>
      </c>
    </row>
    <row r="17" spans="1:4" x14ac:dyDescent="0.3">
      <c r="A17" s="1">
        <v>16</v>
      </c>
      <c r="B17" s="1" t="s">
        <v>19</v>
      </c>
      <c r="C17" s="1">
        <v>30</v>
      </c>
      <c r="D17" s="1" t="str">
        <f t="shared" si="0"/>
        <v>Fail</v>
      </c>
    </row>
    <row r="18" spans="1:4" x14ac:dyDescent="0.3">
      <c r="A18" s="1">
        <v>17</v>
      </c>
      <c r="B18" s="1" t="s">
        <v>20</v>
      </c>
      <c r="C18" s="1">
        <v>24</v>
      </c>
      <c r="D18" s="1" t="str">
        <f t="shared" si="0"/>
        <v>Fail</v>
      </c>
    </row>
    <row r="19" spans="1:4" x14ac:dyDescent="0.3">
      <c r="A19" s="1">
        <v>18</v>
      </c>
      <c r="B19" s="1" t="s">
        <v>21</v>
      </c>
      <c r="C19" s="1">
        <v>40</v>
      </c>
      <c r="D19" s="1" t="str">
        <f t="shared" si="0"/>
        <v>Pass</v>
      </c>
    </row>
    <row r="20" spans="1:4" x14ac:dyDescent="0.3">
      <c r="A20" s="1">
        <v>19</v>
      </c>
      <c r="B20" s="1" t="s">
        <v>22</v>
      </c>
      <c r="C20" s="1">
        <v>38</v>
      </c>
      <c r="D20" s="1" t="str">
        <f t="shared" si="0"/>
        <v>Fail</v>
      </c>
    </row>
    <row r="21" spans="1:4" x14ac:dyDescent="0.3">
      <c r="A21" s="1">
        <v>20</v>
      </c>
      <c r="B21" s="1" t="s">
        <v>23</v>
      </c>
      <c r="C21" s="1">
        <v>64</v>
      </c>
      <c r="D21" s="1" t="str">
        <f t="shared" si="0"/>
        <v>Pass</v>
      </c>
    </row>
    <row r="22" spans="1:4" x14ac:dyDescent="0.3">
      <c r="A22" s="1">
        <v>21</v>
      </c>
      <c r="B22" s="1" t="s">
        <v>24</v>
      </c>
      <c r="C22" s="1">
        <v>62</v>
      </c>
      <c r="D22" s="1" t="str">
        <f t="shared" si="0"/>
        <v>Pass</v>
      </c>
    </row>
    <row r="23" spans="1:4" x14ac:dyDescent="0.3">
      <c r="A23" s="1">
        <v>22</v>
      </c>
      <c r="B23" s="1" t="s">
        <v>25</v>
      </c>
      <c r="C23" s="1">
        <v>60</v>
      </c>
      <c r="D23" s="1" t="str">
        <f t="shared" si="0"/>
        <v>Pass</v>
      </c>
    </row>
    <row r="24" spans="1:4" x14ac:dyDescent="0.3">
      <c r="A24" s="1">
        <v>23</v>
      </c>
      <c r="B24" s="1" t="s">
        <v>26</v>
      </c>
      <c r="C24" s="1">
        <v>24</v>
      </c>
      <c r="D24" s="1" t="str">
        <f t="shared" si="0"/>
        <v>Fail</v>
      </c>
    </row>
    <row r="25" spans="1:4" x14ac:dyDescent="0.3">
      <c r="A25" s="1">
        <v>24</v>
      </c>
      <c r="B25" s="1" t="s">
        <v>27</v>
      </c>
      <c r="C25" s="1">
        <v>49</v>
      </c>
      <c r="D25" s="1" t="str">
        <f t="shared" si="0"/>
        <v>Pass</v>
      </c>
    </row>
    <row r="26" spans="1:4" x14ac:dyDescent="0.3">
      <c r="A26" s="1">
        <v>25</v>
      </c>
      <c r="B26" s="1" t="s">
        <v>28</v>
      </c>
      <c r="C26" s="1">
        <v>61</v>
      </c>
      <c r="D26" s="1" t="str">
        <f t="shared" si="0"/>
        <v>Pass</v>
      </c>
    </row>
  </sheetData>
  <mergeCells count="1">
    <mergeCell ref="F2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EB76-727F-49B4-B9A1-E55C62B08612}">
  <dimension ref="A1:I20"/>
  <sheetViews>
    <sheetView workbookViewId="0">
      <selection activeCell="B2" sqref="B2"/>
    </sheetView>
  </sheetViews>
  <sheetFormatPr defaultRowHeight="14.4" x14ac:dyDescent="0.3"/>
  <cols>
    <col min="1" max="1" width="22.109375" bestFit="1" customWidth="1"/>
    <col min="2" max="2" width="8.88671875" bestFit="1" customWidth="1"/>
    <col min="3" max="3" width="17.44140625" bestFit="1" customWidth="1"/>
  </cols>
  <sheetData>
    <row r="1" spans="1:9" ht="21" x14ac:dyDescent="0.4">
      <c r="A1" s="4" t="s">
        <v>30</v>
      </c>
      <c r="B1" s="4" t="s">
        <v>31</v>
      </c>
      <c r="C1" s="4" t="s">
        <v>32</v>
      </c>
    </row>
    <row r="2" spans="1:9" ht="14.4" customHeight="1" x14ac:dyDescent="0.3">
      <c r="A2" s="1" t="s">
        <v>33</v>
      </c>
      <c r="B2" s="1">
        <v>28000</v>
      </c>
      <c r="C2" s="1" t="str">
        <f>IF(B2&gt;=40000,"Bonus","No Bonus")</f>
        <v>No Bonus</v>
      </c>
      <c r="F2" s="7" t="s">
        <v>42</v>
      </c>
      <c r="G2" s="7"/>
      <c r="H2" s="7"/>
      <c r="I2" s="7"/>
    </row>
    <row r="3" spans="1:9" x14ac:dyDescent="0.3">
      <c r="A3" s="1" t="s">
        <v>34</v>
      </c>
      <c r="B3" s="1">
        <v>45000</v>
      </c>
      <c r="C3" s="1" t="str">
        <f t="shared" ref="C3:C20" si="0">IF(B3&gt;=40000,"Bonus","No Bonus")</f>
        <v>Bonus</v>
      </c>
      <c r="F3" s="7"/>
      <c r="G3" s="7"/>
      <c r="H3" s="7"/>
      <c r="I3" s="7"/>
    </row>
    <row r="4" spans="1:9" x14ac:dyDescent="0.3">
      <c r="A4" s="1" t="s">
        <v>35</v>
      </c>
      <c r="B4" s="1">
        <v>52000</v>
      </c>
      <c r="C4" s="1" t="str">
        <f t="shared" si="0"/>
        <v>Bonus</v>
      </c>
      <c r="F4" s="7"/>
      <c r="G4" s="7"/>
      <c r="H4" s="7"/>
      <c r="I4" s="7"/>
    </row>
    <row r="5" spans="1:9" x14ac:dyDescent="0.3">
      <c r="A5" s="1" t="s">
        <v>36</v>
      </c>
      <c r="B5" s="1">
        <v>30000</v>
      </c>
      <c r="C5" s="1" t="str">
        <f t="shared" si="0"/>
        <v>No Bonus</v>
      </c>
      <c r="F5" s="7"/>
      <c r="G5" s="7"/>
      <c r="H5" s="7"/>
      <c r="I5" s="7"/>
    </row>
    <row r="6" spans="1:9" x14ac:dyDescent="0.3">
      <c r="A6" s="1" t="s">
        <v>37</v>
      </c>
      <c r="B6" s="1">
        <v>46086</v>
      </c>
      <c r="C6" s="1" t="str">
        <f t="shared" si="0"/>
        <v>Bonus</v>
      </c>
    </row>
    <row r="7" spans="1:9" x14ac:dyDescent="0.3">
      <c r="A7" s="1" t="s">
        <v>38</v>
      </c>
      <c r="B7" s="1">
        <v>26661</v>
      </c>
      <c r="C7" s="1" t="str">
        <f t="shared" si="0"/>
        <v>No Bonus</v>
      </c>
    </row>
    <row r="8" spans="1:9" x14ac:dyDescent="0.3">
      <c r="A8" s="1" t="s">
        <v>39</v>
      </c>
      <c r="B8" s="1">
        <v>12629</v>
      </c>
      <c r="C8" s="1" t="str">
        <f t="shared" si="0"/>
        <v>No Bonus</v>
      </c>
    </row>
    <row r="9" spans="1:9" x14ac:dyDescent="0.3">
      <c r="A9" s="1" t="s">
        <v>40</v>
      </c>
      <c r="B9" s="1">
        <v>36424</v>
      </c>
      <c r="C9" s="1" t="str">
        <f t="shared" si="0"/>
        <v>No Bonus</v>
      </c>
    </row>
    <row r="10" spans="1:9" x14ac:dyDescent="0.3">
      <c r="A10" s="1" t="s">
        <v>4</v>
      </c>
      <c r="B10" s="1">
        <v>41965</v>
      </c>
      <c r="C10" s="1" t="str">
        <f t="shared" si="0"/>
        <v>Bonus</v>
      </c>
    </row>
    <row r="11" spans="1:9" x14ac:dyDescent="0.3">
      <c r="A11" s="1" t="s">
        <v>41</v>
      </c>
      <c r="B11" s="1">
        <v>18166</v>
      </c>
      <c r="C11" s="1" t="str">
        <f t="shared" si="0"/>
        <v>No Bonus</v>
      </c>
    </row>
    <row r="12" spans="1:9" x14ac:dyDescent="0.3">
      <c r="A12" s="1" t="s">
        <v>9</v>
      </c>
      <c r="B12" s="1">
        <v>30011</v>
      </c>
      <c r="C12" s="1" t="str">
        <f t="shared" si="0"/>
        <v>No Bonus</v>
      </c>
    </row>
    <row r="13" spans="1:9" x14ac:dyDescent="0.3">
      <c r="A13" s="1" t="s">
        <v>10</v>
      </c>
      <c r="B13" s="1">
        <v>24657</v>
      </c>
      <c r="C13" s="1" t="str">
        <f t="shared" si="0"/>
        <v>No Bonus</v>
      </c>
    </row>
    <row r="14" spans="1:9" x14ac:dyDescent="0.3">
      <c r="A14" s="1" t="s">
        <v>11</v>
      </c>
      <c r="B14" s="1">
        <v>36326</v>
      </c>
      <c r="C14" s="1" t="str">
        <f t="shared" si="0"/>
        <v>No Bonus</v>
      </c>
    </row>
    <row r="15" spans="1:9" x14ac:dyDescent="0.3">
      <c r="A15" s="1" t="s">
        <v>12</v>
      </c>
      <c r="B15" s="1">
        <v>21881</v>
      </c>
      <c r="C15" s="1" t="str">
        <f t="shared" si="0"/>
        <v>No Bonus</v>
      </c>
    </row>
    <row r="16" spans="1:9" x14ac:dyDescent="0.3">
      <c r="A16" s="1" t="s">
        <v>13</v>
      </c>
      <c r="B16" s="1">
        <v>29282</v>
      </c>
      <c r="C16" s="1" t="str">
        <f t="shared" si="0"/>
        <v>No Bonus</v>
      </c>
    </row>
    <row r="17" spans="1:3" x14ac:dyDescent="0.3">
      <c r="A17" s="1" t="s">
        <v>14</v>
      </c>
      <c r="B17" s="1">
        <v>35589</v>
      </c>
      <c r="C17" s="1" t="str">
        <f t="shared" si="0"/>
        <v>No Bonus</v>
      </c>
    </row>
    <row r="18" spans="1:3" x14ac:dyDescent="0.3">
      <c r="A18" s="1" t="s">
        <v>15</v>
      </c>
      <c r="B18" s="1">
        <v>28859</v>
      </c>
      <c r="C18" s="1" t="str">
        <f t="shared" si="0"/>
        <v>No Bonus</v>
      </c>
    </row>
    <row r="19" spans="1:3" x14ac:dyDescent="0.3">
      <c r="A19" s="1" t="s">
        <v>16</v>
      </c>
      <c r="B19" s="1">
        <v>22082</v>
      </c>
      <c r="C19" s="1" t="str">
        <f t="shared" si="0"/>
        <v>No Bonus</v>
      </c>
    </row>
    <row r="20" spans="1:3" x14ac:dyDescent="0.3">
      <c r="A20" s="1" t="s">
        <v>17</v>
      </c>
      <c r="B20" s="1">
        <v>24324</v>
      </c>
      <c r="C20" s="1" t="str">
        <f t="shared" si="0"/>
        <v>No Bonus</v>
      </c>
    </row>
  </sheetData>
  <mergeCells count="1">
    <mergeCell ref="F2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47AE2-FCE7-4FBF-898D-8514F8441E04}">
  <dimension ref="A1:H25"/>
  <sheetViews>
    <sheetView workbookViewId="0">
      <selection activeCell="A2" sqref="A2:A25"/>
    </sheetView>
  </sheetViews>
  <sheetFormatPr defaultRowHeight="14.4" x14ac:dyDescent="0.3"/>
  <cols>
    <col min="1" max="1" width="22" bestFit="1" customWidth="1"/>
    <col min="2" max="2" width="10" bestFit="1" customWidth="1"/>
    <col min="3" max="3" width="9.77734375" bestFit="1" customWidth="1"/>
  </cols>
  <sheetData>
    <row r="1" spans="1:8" ht="24.6" x14ac:dyDescent="0.3">
      <c r="A1" s="8" t="s">
        <v>1</v>
      </c>
      <c r="B1" s="8" t="s">
        <v>2</v>
      </c>
      <c r="C1" s="8" t="s">
        <v>43</v>
      </c>
    </row>
    <row r="2" spans="1:8" ht="15" x14ac:dyDescent="0.3">
      <c r="A2" s="6" t="s">
        <v>4</v>
      </c>
      <c r="B2" s="6">
        <v>82</v>
      </c>
      <c r="C2" s="6" t="str">
        <f>IF(B2&gt;=75,"A",IF(B2&gt;=60,"B",IF(B2&gt;=40,"C","Fail")))</f>
        <v>A</v>
      </c>
      <c r="G2" s="7" t="s">
        <v>44</v>
      </c>
      <c r="H2" s="7"/>
    </row>
    <row r="3" spans="1:8" ht="15" x14ac:dyDescent="0.3">
      <c r="A3" s="6" t="s">
        <v>5</v>
      </c>
      <c r="B3" s="6">
        <v>67</v>
      </c>
      <c r="C3" s="6" t="str">
        <f t="shared" ref="C3:C25" si="0">IF(B3&gt;=75,"A",IF(B3&gt;=60,"B",IF(B3&gt;=40,"C","Fail")))</f>
        <v>B</v>
      </c>
      <c r="G3" s="7"/>
      <c r="H3" s="7"/>
    </row>
    <row r="4" spans="1:8" ht="15" x14ac:dyDescent="0.3">
      <c r="A4" s="6" t="s">
        <v>6</v>
      </c>
      <c r="B4" s="6">
        <v>45</v>
      </c>
      <c r="C4" s="6" t="str">
        <f t="shared" si="0"/>
        <v>C</v>
      </c>
      <c r="G4" s="7"/>
      <c r="H4" s="7"/>
    </row>
    <row r="5" spans="1:8" ht="15" x14ac:dyDescent="0.3">
      <c r="A5" s="6" t="s">
        <v>7</v>
      </c>
      <c r="B5" s="6">
        <v>33</v>
      </c>
      <c r="C5" s="6" t="str">
        <f t="shared" si="0"/>
        <v>Fail</v>
      </c>
      <c r="G5" s="7"/>
      <c r="H5" s="7"/>
    </row>
    <row r="6" spans="1:8" ht="15" x14ac:dyDescent="0.3">
      <c r="A6" s="6" t="s">
        <v>8</v>
      </c>
      <c r="B6" s="6">
        <v>90</v>
      </c>
      <c r="C6" s="6" t="str">
        <f t="shared" si="0"/>
        <v>A</v>
      </c>
      <c r="G6" s="7"/>
      <c r="H6" s="7"/>
    </row>
    <row r="7" spans="1:8" ht="15" x14ac:dyDescent="0.3">
      <c r="A7" s="6" t="s">
        <v>33</v>
      </c>
      <c r="B7" s="6">
        <v>35</v>
      </c>
      <c r="C7" s="6" t="str">
        <f t="shared" si="0"/>
        <v>Fail</v>
      </c>
      <c r="G7" s="7"/>
      <c r="H7" s="7"/>
    </row>
    <row r="8" spans="1:8" ht="15" x14ac:dyDescent="0.3">
      <c r="A8" s="6" t="s">
        <v>34</v>
      </c>
      <c r="B8" s="6">
        <v>12</v>
      </c>
      <c r="C8" s="6" t="str">
        <f t="shared" si="0"/>
        <v>Fail</v>
      </c>
    </row>
    <row r="9" spans="1:8" ht="15" x14ac:dyDescent="0.3">
      <c r="A9" s="6" t="s">
        <v>35</v>
      </c>
      <c r="B9" s="6">
        <v>41</v>
      </c>
      <c r="C9" s="6" t="str">
        <f t="shared" si="0"/>
        <v>C</v>
      </c>
    </row>
    <row r="10" spans="1:8" ht="15" x14ac:dyDescent="0.3">
      <c r="A10" s="6" t="s">
        <v>36</v>
      </c>
      <c r="B10" s="6">
        <v>87</v>
      </c>
      <c r="C10" s="6" t="str">
        <f t="shared" si="0"/>
        <v>A</v>
      </c>
    </row>
    <row r="11" spans="1:8" ht="15" x14ac:dyDescent="0.3">
      <c r="A11" s="6" t="s">
        <v>37</v>
      </c>
      <c r="B11" s="6">
        <v>27</v>
      </c>
      <c r="C11" s="6" t="str">
        <f t="shared" si="0"/>
        <v>Fail</v>
      </c>
    </row>
    <row r="12" spans="1:8" ht="15" x14ac:dyDescent="0.3">
      <c r="A12" s="6" t="s">
        <v>38</v>
      </c>
      <c r="B12" s="6">
        <v>94</v>
      </c>
      <c r="C12" s="6" t="str">
        <f t="shared" si="0"/>
        <v>A</v>
      </c>
    </row>
    <row r="13" spans="1:8" ht="15" x14ac:dyDescent="0.3">
      <c r="A13" s="6" t="s">
        <v>39</v>
      </c>
      <c r="B13" s="6">
        <v>49</v>
      </c>
      <c r="C13" s="6" t="str">
        <f t="shared" si="0"/>
        <v>C</v>
      </c>
    </row>
    <row r="14" spans="1:8" ht="15" x14ac:dyDescent="0.3">
      <c r="A14" s="6" t="s">
        <v>40</v>
      </c>
      <c r="B14" s="6">
        <v>99</v>
      </c>
      <c r="C14" s="6" t="str">
        <f t="shared" si="0"/>
        <v>A</v>
      </c>
    </row>
    <row r="15" spans="1:8" ht="15" x14ac:dyDescent="0.3">
      <c r="A15" s="6" t="s">
        <v>4</v>
      </c>
      <c r="B15" s="6">
        <v>17</v>
      </c>
      <c r="C15" s="6" t="str">
        <f t="shared" si="0"/>
        <v>Fail</v>
      </c>
    </row>
    <row r="16" spans="1:8" ht="15" x14ac:dyDescent="0.3">
      <c r="A16" s="6" t="s">
        <v>41</v>
      </c>
      <c r="B16" s="6">
        <v>94</v>
      </c>
      <c r="C16" s="6" t="str">
        <f t="shared" si="0"/>
        <v>A</v>
      </c>
    </row>
    <row r="17" spans="1:3" ht="15" x14ac:dyDescent="0.3">
      <c r="A17" s="6" t="s">
        <v>9</v>
      </c>
      <c r="B17" s="6">
        <v>88</v>
      </c>
      <c r="C17" s="6" t="str">
        <f t="shared" si="0"/>
        <v>A</v>
      </c>
    </row>
    <row r="18" spans="1:3" ht="15" x14ac:dyDescent="0.3">
      <c r="A18" s="6" t="s">
        <v>10</v>
      </c>
      <c r="B18" s="6">
        <v>77</v>
      </c>
      <c r="C18" s="6" t="str">
        <f t="shared" si="0"/>
        <v>A</v>
      </c>
    </row>
    <row r="19" spans="1:3" ht="15" x14ac:dyDescent="0.3">
      <c r="A19" s="6" t="s">
        <v>11</v>
      </c>
      <c r="B19" s="6">
        <v>70</v>
      </c>
      <c r="C19" s="6" t="str">
        <f t="shared" si="0"/>
        <v>B</v>
      </c>
    </row>
    <row r="20" spans="1:3" ht="15" x14ac:dyDescent="0.3">
      <c r="A20" s="6" t="s">
        <v>12</v>
      </c>
      <c r="B20" s="6">
        <v>78</v>
      </c>
      <c r="C20" s="6" t="str">
        <f t="shared" si="0"/>
        <v>A</v>
      </c>
    </row>
    <row r="21" spans="1:3" ht="15" x14ac:dyDescent="0.3">
      <c r="A21" s="6" t="s">
        <v>13</v>
      </c>
      <c r="B21" s="6">
        <v>24</v>
      </c>
      <c r="C21" s="6" t="str">
        <f t="shared" si="0"/>
        <v>Fail</v>
      </c>
    </row>
    <row r="22" spans="1:3" ht="15" x14ac:dyDescent="0.3">
      <c r="A22" s="6" t="s">
        <v>14</v>
      </c>
      <c r="B22" s="6">
        <v>48</v>
      </c>
      <c r="C22" s="6" t="str">
        <f t="shared" si="0"/>
        <v>C</v>
      </c>
    </row>
    <row r="23" spans="1:3" ht="15" x14ac:dyDescent="0.3">
      <c r="A23" s="6" t="s">
        <v>15</v>
      </c>
      <c r="B23" s="6">
        <v>19</v>
      </c>
      <c r="C23" s="6" t="str">
        <f t="shared" si="0"/>
        <v>Fail</v>
      </c>
    </row>
    <row r="24" spans="1:3" ht="15" x14ac:dyDescent="0.3">
      <c r="A24" s="6" t="s">
        <v>16</v>
      </c>
      <c r="B24" s="6">
        <v>34</v>
      </c>
      <c r="C24" s="6" t="str">
        <f t="shared" si="0"/>
        <v>Fail</v>
      </c>
    </row>
    <row r="25" spans="1:3" ht="15" x14ac:dyDescent="0.3">
      <c r="A25" s="6" t="s">
        <v>17</v>
      </c>
      <c r="B25" s="6">
        <v>12</v>
      </c>
      <c r="C25" s="6" t="str">
        <f t="shared" si="0"/>
        <v>Fail</v>
      </c>
    </row>
  </sheetData>
  <mergeCells count="1">
    <mergeCell ref="G2:H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E3F59-DA71-4849-A937-F3C781B835A0}">
  <dimension ref="A1:I29"/>
  <sheetViews>
    <sheetView topLeftCell="A4" workbookViewId="0">
      <selection activeCell="A2" sqref="A2:A29"/>
    </sheetView>
  </sheetViews>
  <sheetFormatPr defaultRowHeight="14.4" x14ac:dyDescent="0.3"/>
  <cols>
    <col min="1" max="1" width="8.44140625" bestFit="1" customWidth="1"/>
    <col min="2" max="2" width="6.109375" bestFit="1" customWidth="1"/>
    <col min="3" max="3" width="24.21875" bestFit="1" customWidth="1"/>
    <col min="4" max="4" width="10.77734375" bestFit="1" customWidth="1"/>
  </cols>
  <sheetData>
    <row r="1" spans="1:9" ht="20.399999999999999" x14ac:dyDescent="0.3">
      <c r="A1" s="10" t="s">
        <v>45</v>
      </c>
      <c r="B1" s="10" t="s">
        <v>46</v>
      </c>
      <c r="C1" s="10" t="s">
        <v>47</v>
      </c>
      <c r="D1" s="10" t="s">
        <v>48</v>
      </c>
    </row>
    <row r="2" spans="1:9" ht="15" x14ac:dyDescent="0.3">
      <c r="A2" s="6" t="s">
        <v>33</v>
      </c>
      <c r="B2" s="6">
        <v>25</v>
      </c>
      <c r="C2" s="6">
        <v>2</v>
      </c>
      <c r="D2" s="6" t="str">
        <f>IF(AND(B2&gt;=21,C2&gt;=1),"Eligible","Not Eligible")</f>
        <v>Eligible</v>
      </c>
      <c r="G2" s="9" t="s">
        <v>49</v>
      </c>
      <c r="H2" s="9"/>
      <c r="I2" s="9"/>
    </row>
    <row r="3" spans="1:9" ht="15" x14ac:dyDescent="0.3">
      <c r="A3" s="6" t="s">
        <v>34</v>
      </c>
      <c r="B3" s="6">
        <v>20</v>
      </c>
      <c r="C3" s="6">
        <v>1</v>
      </c>
      <c r="D3" s="6" t="str">
        <f t="shared" ref="D3:D29" si="0">IF(AND(B3&gt;=21,C3&gt;=1),"Eligible","Not Eligible")</f>
        <v>Not Eligible</v>
      </c>
      <c r="G3" s="9"/>
      <c r="H3" s="9"/>
      <c r="I3" s="9"/>
    </row>
    <row r="4" spans="1:9" ht="15" x14ac:dyDescent="0.3">
      <c r="A4" s="6" t="s">
        <v>35</v>
      </c>
      <c r="B4" s="6">
        <v>30</v>
      </c>
      <c r="C4" s="6">
        <v>5</v>
      </c>
      <c r="D4" s="6" t="str">
        <f t="shared" si="0"/>
        <v>Eligible</v>
      </c>
      <c r="G4" s="9"/>
      <c r="H4" s="9"/>
      <c r="I4" s="9"/>
    </row>
    <row r="5" spans="1:9" ht="15" x14ac:dyDescent="0.3">
      <c r="A5" s="6" t="s">
        <v>36</v>
      </c>
      <c r="B5" s="6">
        <v>22</v>
      </c>
      <c r="C5" s="6">
        <v>0</v>
      </c>
      <c r="D5" s="6" t="str">
        <f t="shared" si="0"/>
        <v>Not Eligible</v>
      </c>
    </row>
    <row r="6" spans="1:9" ht="15" x14ac:dyDescent="0.3">
      <c r="A6" s="6" t="s">
        <v>4</v>
      </c>
      <c r="B6" s="6">
        <v>23</v>
      </c>
      <c r="C6" s="6">
        <v>3</v>
      </c>
      <c r="D6" s="6" t="str">
        <f t="shared" si="0"/>
        <v>Eligible</v>
      </c>
    </row>
    <row r="7" spans="1:9" ht="15" x14ac:dyDescent="0.3">
      <c r="A7" s="6" t="s">
        <v>5</v>
      </c>
      <c r="B7" s="6">
        <v>22</v>
      </c>
      <c r="C7" s="6">
        <v>3</v>
      </c>
      <c r="D7" s="6" t="str">
        <f t="shared" si="0"/>
        <v>Eligible</v>
      </c>
    </row>
    <row r="8" spans="1:9" ht="15" x14ac:dyDescent="0.3">
      <c r="A8" s="6" t="s">
        <v>6</v>
      </c>
      <c r="B8" s="6">
        <v>22</v>
      </c>
      <c r="C8" s="6">
        <v>2</v>
      </c>
      <c r="D8" s="6" t="str">
        <f t="shared" si="0"/>
        <v>Eligible</v>
      </c>
    </row>
    <row r="9" spans="1:9" ht="15" x14ac:dyDescent="0.3">
      <c r="A9" s="6" t="s">
        <v>7</v>
      </c>
      <c r="B9" s="6">
        <v>23</v>
      </c>
      <c r="C9" s="6">
        <v>3</v>
      </c>
      <c r="D9" s="6" t="str">
        <f t="shared" si="0"/>
        <v>Eligible</v>
      </c>
    </row>
    <row r="10" spans="1:9" ht="15" x14ac:dyDescent="0.3">
      <c r="A10" s="6" t="s">
        <v>8</v>
      </c>
      <c r="B10" s="6">
        <v>34</v>
      </c>
      <c r="C10" s="6">
        <v>2</v>
      </c>
      <c r="D10" s="6" t="str">
        <f t="shared" si="0"/>
        <v>Eligible</v>
      </c>
    </row>
    <row r="11" spans="1:9" ht="15" x14ac:dyDescent="0.3">
      <c r="A11" s="6" t="s">
        <v>33</v>
      </c>
      <c r="B11" s="6">
        <v>26</v>
      </c>
      <c r="C11" s="6">
        <v>4</v>
      </c>
      <c r="D11" s="6" t="str">
        <f t="shared" si="0"/>
        <v>Eligible</v>
      </c>
    </row>
    <row r="12" spans="1:9" ht="15" x14ac:dyDescent="0.3">
      <c r="A12" s="6" t="s">
        <v>34</v>
      </c>
      <c r="B12" s="6">
        <v>33</v>
      </c>
      <c r="C12" s="6">
        <v>3</v>
      </c>
      <c r="D12" s="6" t="str">
        <f t="shared" si="0"/>
        <v>Eligible</v>
      </c>
    </row>
    <row r="13" spans="1:9" ht="15" x14ac:dyDescent="0.3">
      <c r="A13" s="6" t="s">
        <v>35</v>
      </c>
      <c r="B13" s="6">
        <v>16</v>
      </c>
      <c r="C13" s="6">
        <v>5</v>
      </c>
      <c r="D13" s="6" t="str">
        <f t="shared" si="0"/>
        <v>Not Eligible</v>
      </c>
    </row>
    <row r="14" spans="1:9" ht="15" x14ac:dyDescent="0.3">
      <c r="A14" s="6" t="s">
        <v>36</v>
      </c>
      <c r="B14" s="6">
        <v>26</v>
      </c>
      <c r="C14" s="6">
        <v>3</v>
      </c>
      <c r="D14" s="6" t="str">
        <f t="shared" si="0"/>
        <v>Eligible</v>
      </c>
    </row>
    <row r="15" spans="1:9" ht="15" x14ac:dyDescent="0.3">
      <c r="A15" s="6" t="s">
        <v>37</v>
      </c>
      <c r="B15" s="6">
        <v>23</v>
      </c>
      <c r="C15" s="6">
        <v>0</v>
      </c>
      <c r="D15" s="6" t="str">
        <f t="shared" si="0"/>
        <v>Not Eligible</v>
      </c>
    </row>
    <row r="16" spans="1:9" ht="15" x14ac:dyDescent="0.3">
      <c r="A16" s="6" t="s">
        <v>38</v>
      </c>
      <c r="B16" s="6">
        <v>21</v>
      </c>
      <c r="C16" s="6">
        <v>4</v>
      </c>
      <c r="D16" s="6" t="str">
        <f t="shared" si="0"/>
        <v>Eligible</v>
      </c>
    </row>
    <row r="17" spans="1:4" ht="15" x14ac:dyDescent="0.3">
      <c r="A17" s="6" t="s">
        <v>39</v>
      </c>
      <c r="B17" s="6">
        <v>16</v>
      </c>
      <c r="C17" s="6">
        <v>4</v>
      </c>
      <c r="D17" s="6" t="str">
        <f t="shared" si="0"/>
        <v>Not Eligible</v>
      </c>
    </row>
    <row r="18" spans="1:4" ht="15" x14ac:dyDescent="0.3">
      <c r="A18" s="6" t="s">
        <v>40</v>
      </c>
      <c r="B18" s="6">
        <v>28</v>
      </c>
      <c r="C18" s="6">
        <v>2</v>
      </c>
      <c r="D18" s="6" t="str">
        <f t="shared" si="0"/>
        <v>Eligible</v>
      </c>
    </row>
    <row r="19" spans="1:4" ht="15" x14ac:dyDescent="0.3">
      <c r="A19" s="6" t="s">
        <v>4</v>
      </c>
      <c r="B19" s="6">
        <v>27</v>
      </c>
      <c r="C19" s="6">
        <v>0</v>
      </c>
      <c r="D19" s="6" t="str">
        <f t="shared" si="0"/>
        <v>Not Eligible</v>
      </c>
    </row>
    <row r="20" spans="1:4" ht="15" x14ac:dyDescent="0.3">
      <c r="A20" s="6" t="s">
        <v>41</v>
      </c>
      <c r="B20" s="6">
        <v>26</v>
      </c>
      <c r="C20" s="6">
        <v>4</v>
      </c>
      <c r="D20" s="6" t="str">
        <f t="shared" si="0"/>
        <v>Eligible</v>
      </c>
    </row>
    <row r="21" spans="1:4" ht="15" x14ac:dyDescent="0.3">
      <c r="A21" s="6" t="s">
        <v>9</v>
      </c>
      <c r="B21" s="6">
        <v>26</v>
      </c>
      <c r="C21" s="6">
        <v>1</v>
      </c>
      <c r="D21" s="6" t="str">
        <f t="shared" si="0"/>
        <v>Eligible</v>
      </c>
    </row>
    <row r="22" spans="1:4" ht="15" x14ac:dyDescent="0.3">
      <c r="A22" s="6" t="s">
        <v>10</v>
      </c>
      <c r="B22" s="6">
        <v>27</v>
      </c>
      <c r="C22" s="6">
        <v>5</v>
      </c>
      <c r="D22" s="6" t="str">
        <f t="shared" si="0"/>
        <v>Eligible</v>
      </c>
    </row>
    <row r="23" spans="1:4" ht="15" x14ac:dyDescent="0.3">
      <c r="A23" s="6" t="s">
        <v>11</v>
      </c>
      <c r="B23" s="6">
        <v>24</v>
      </c>
      <c r="C23" s="6">
        <v>0</v>
      </c>
      <c r="D23" s="6" t="str">
        <f t="shared" si="0"/>
        <v>Not Eligible</v>
      </c>
    </row>
    <row r="24" spans="1:4" ht="15" x14ac:dyDescent="0.3">
      <c r="A24" s="6" t="s">
        <v>12</v>
      </c>
      <c r="B24" s="6">
        <v>19</v>
      </c>
      <c r="C24" s="6">
        <v>2</v>
      </c>
      <c r="D24" s="6" t="str">
        <f t="shared" si="0"/>
        <v>Not Eligible</v>
      </c>
    </row>
    <row r="25" spans="1:4" ht="15" x14ac:dyDescent="0.3">
      <c r="A25" s="6" t="s">
        <v>13</v>
      </c>
      <c r="B25" s="6">
        <v>17</v>
      </c>
      <c r="C25" s="6">
        <v>1</v>
      </c>
      <c r="D25" s="6" t="str">
        <f t="shared" si="0"/>
        <v>Not Eligible</v>
      </c>
    </row>
    <row r="26" spans="1:4" ht="15" x14ac:dyDescent="0.3">
      <c r="A26" s="6" t="s">
        <v>14</v>
      </c>
      <c r="B26" s="6">
        <v>20</v>
      </c>
      <c r="C26" s="6">
        <v>2</v>
      </c>
      <c r="D26" s="6" t="str">
        <f t="shared" si="0"/>
        <v>Not Eligible</v>
      </c>
    </row>
    <row r="27" spans="1:4" ht="15" x14ac:dyDescent="0.3">
      <c r="A27" s="6" t="s">
        <v>15</v>
      </c>
      <c r="B27" s="6">
        <v>22</v>
      </c>
      <c r="C27" s="6">
        <v>2</v>
      </c>
      <c r="D27" s="6" t="str">
        <f t="shared" si="0"/>
        <v>Eligible</v>
      </c>
    </row>
    <row r="28" spans="1:4" ht="15" x14ac:dyDescent="0.3">
      <c r="A28" s="6" t="s">
        <v>16</v>
      </c>
      <c r="B28" s="6">
        <v>20</v>
      </c>
      <c r="C28" s="6">
        <v>1</v>
      </c>
      <c r="D28" s="6" t="str">
        <f t="shared" si="0"/>
        <v>Not Eligible</v>
      </c>
    </row>
    <row r="29" spans="1:4" ht="15" x14ac:dyDescent="0.3">
      <c r="A29" s="6" t="s">
        <v>17</v>
      </c>
      <c r="B29" s="6">
        <v>29</v>
      </c>
      <c r="C29" s="6">
        <v>0</v>
      </c>
      <c r="D29" s="6" t="str">
        <f t="shared" si="0"/>
        <v>Not Eligible</v>
      </c>
    </row>
  </sheetData>
  <mergeCells count="1">
    <mergeCell ref="G2:I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60B74-11FB-448D-B902-3063054AE77F}">
  <dimension ref="A1:I33"/>
  <sheetViews>
    <sheetView topLeftCell="A8" workbookViewId="0">
      <selection activeCell="A2" sqref="A2:A33"/>
    </sheetView>
  </sheetViews>
  <sheetFormatPr defaultRowHeight="14.4" x14ac:dyDescent="0.3"/>
  <cols>
    <col min="1" max="1" width="19.109375" bestFit="1" customWidth="1"/>
    <col min="2" max="2" width="18.6640625" bestFit="1" customWidth="1"/>
    <col min="3" max="3" width="30" bestFit="1" customWidth="1"/>
    <col min="4" max="4" width="10.77734375" bestFit="1" customWidth="1"/>
  </cols>
  <sheetData>
    <row r="1" spans="1:9" ht="20.399999999999999" x14ac:dyDescent="0.3">
      <c r="A1" s="11" t="s">
        <v>1</v>
      </c>
      <c r="B1" s="11" t="s">
        <v>50</v>
      </c>
      <c r="C1" s="11" t="s">
        <v>51</v>
      </c>
      <c r="D1" s="11" t="s">
        <v>48</v>
      </c>
    </row>
    <row r="2" spans="1:9" ht="15" x14ac:dyDescent="0.3">
      <c r="A2" s="6" t="s">
        <v>4</v>
      </c>
      <c r="B2" s="6">
        <v>85</v>
      </c>
      <c r="C2" s="6" t="s">
        <v>52</v>
      </c>
      <c r="D2" s="6" t="str">
        <f>IF(AND(B2&gt;=75,C2="Yes"),"Eligible","Not Eligible")</f>
        <v>Eligible</v>
      </c>
      <c r="G2" s="7" t="s">
        <v>54</v>
      </c>
      <c r="H2" s="7"/>
      <c r="I2" s="7"/>
    </row>
    <row r="3" spans="1:9" ht="15" x14ac:dyDescent="0.3">
      <c r="A3" s="6" t="s">
        <v>5</v>
      </c>
      <c r="B3" s="6">
        <v>72</v>
      </c>
      <c r="C3" s="6" t="s">
        <v>52</v>
      </c>
      <c r="D3" s="6" t="str">
        <f t="shared" ref="D3:D33" si="0">IF(AND(B3&gt;=75,C3="Yes"),"Eligible","Not Eligible")</f>
        <v>Not Eligible</v>
      </c>
      <c r="G3" s="7"/>
      <c r="H3" s="7"/>
      <c r="I3" s="7"/>
    </row>
    <row r="4" spans="1:9" ht="15" x14ac:dyDescent="0.3">
      <c r="A4" s="6" t="s">
        <v>6</v>
      </c>
      <c r="B4" s="6">
        <v>90</v>
      </c>
      <c r="C4" s="6" t="s">
        <v>53</v>
      </c>
      <c r="D4" s="6" t="str">
        <f t="shared" si="0"/>
        <v>Not Eligible</v>
      </c>
      <c r="G4" s="7"/>
      <c r="H4" s="7"/>
      <c r="I4" s="7"/>
    </row>
    <row r="5" spans="1:9" ht="15" x14ac:dyDescent="0.3">
      <c r="A5" s="6" t="s">
        <v>7</v>
      </c>
      <c r="B5" s="6">
        <v>80</v>
      </c>
      <c r="C5" s="6" t="s">
        <v>52</v>
      </c>
      <c r="D5" s="6" t="str">
        <f t="shared" si="0"/>
        <v>Eligible</v>
      </c>
      <c r="G5" s="7"/>
      <c r="H5" s="7"/>
      <c r="I5" s="7"/>
    </row>
    <row r="6" spans="1:9" ht="15" x14ac:dyDescent="0.3">
      <c r="A6" s="6" t="s">
        <v>33</v>
      </c>
      <c r="B6" s="1">
        <v>59</v>
      </c>
      <c r="C6" s="1" t="s">
        <v>53</v>
      </c>
      <c r="D6" s="6" t="str">
        <f t="shared" si="0"/>
        <v>Not Eligible</v>
      </c>
    </row>
    <row r="7" spans="1:9" ht="15" x14ac:dyDescent="0.3">
      <c r="A7" s="6" t="s">
        <v>34</v>
      </c>
      <c r="B7" s="1">
        <v>75</v>
      </c>
      <c r="C7" s="1" t="s">
        <v>53</v>
      </c>
      <c r="D7" s="6" t="str">
        <f t="shared" si="0"/>
        <v>Not Eligible</v>
      </c>
    </row>
    <row r="8" spans="1:9" ht="15" x14ac:dyDescent="0.3">
      <c r="A8" s="6" t="s">
        <v>35</v>
      </c>
      <c r="B8" s="1">
        <v>63</v>
      </c>
      <c r="C8" s="1" t="s">
        <v>53</v>
      </c>
      <c r="D8" s="6" t="str">
        <f t="shared" si="0"/>
        <v>Not Eligible</v>
      </c>
    </row>
    <row r="9" spans="1:9" ht="15" x14ac:dyDescent="0.3">
      <c r="A9" s="6" t="s">
        <v>36</v>
      </c>
      <c r="B9" s="1">
        <v>94</v>
      </c>
      <c r="C9" s="1" t="s">
        <v>52</v>
      </c>
      <c r="D9" s="6" t="str">
        <f t="shared" si="0"/>
        <v>Eligible</v>
      </c>
    </row>
    <row r="10" spans="1:9" ht="15" x14ac:dyDescent="0.3">
      <c r="A10" s="6" t="s">
        <v>4</v>
      </c>
      <c r="B10" s="1">
        <v>79</v>
      </c>
      <c r="C10" s="1" t="s">
        <v>52</v>
      </c>
      <c r="D10" s="6" t="str">
        <f t="shared" si="0"/>
        <v>Eligible</v>
      </c>
    </row>
    <row r="11" spans="1:9" ht="15" x14ac:dyDescent="0.3">
      <c r="A11" s="6" t="s">
        <v>5</v>
      </c>
      <c r="B11" s="1">
        <v>65</v>
      </c>
      <c r="C11" s="1" t="s">
        <v>52</v>
      </c>
      <c r="D11" s="6" t="str">
        <f t="shared" si="0"/>
        <v>Not Eligible</v>
      </c>
    </row>
    <row r="12" spans="1:9" ht="15" x14ac:dyDescent="0.3">
      <c r="A12" s="6" t="s">
        <v>6</v>
      </c>
      <c r="B12" s="1">
        <v>68</v>
      </c>
      <c r="C12" s="1" t="s">
        <v>52</v>
      </c>
      <c r="D12" s="6" t="str">
        <f t="shared" si="0"/>
        <v>Not Eligible</v>
      </c>
    </row>
    <row r="13" spans="1:9" ht="15" x14ac:dyDescent="0.3">
      <c r="A13" s="6" t="s">
        <v>7</v>
      </c>
      <c r="B13" s="1">
        <v>66</v>
      </c>
      <c r="C13" s="1" t="s">
        <v>53</v>
      </c>
      <c r="D13" s="6" t="str">
        <f t="shared" si="0"/>
        <v>Not Eligible</v>
      </c>
    </row>
    <row r="14" spans="1:9" ht="15" x14ac:dyDescent="0.3">
      <c r="A14" s="6" t="s">
        <v>8</v>
      </c>
      <c r="B14" s="1">
        <v>87</v>
      </c>
      <c r="C14" s="1" t="s">
        <v>53</v>
      </c>
      <c r="D14" s="6" t="str">
        <f t="shared" si="0"/>
        <v>Not Eligible</v>
      </c>
    </row>
    <row r="15" spans="1:9" ht="15" x14ac:dyDescent="0.3">
      <c r="A15" s="6" t="s">
        <v>33</v>
      </c>
      <c r="B15" s="1">
        <v>90</v>
      </c>
      <c r="C15" s="1" t="s">
        <v>53</v>
      </c>
      <c r="D15" s="6" t="str">
        <f t="shared" si="0"/>
        <v>Not Eligible</v>
      </c>
    </row>
    <row r="16" spans="1:9" ht="15" x14ac:dyDescent="0.3">
      <c r="A16" s="6" t="s">
        <v>34</v>
      </c>
      <c r="B16" s="1">
        <v>69</v>
      </c>
      <c r="C16" s="1" t="s">
        <v>53</v>
      </c>
      <c r="D16" s="6" t="str">
        <f t="shared" si="0"/>
        <v>Not Eligible</v>
      </c>
    </row>
    <row r="17" spans="1:4" ht="15" x14ac:dyDescent="0.3">
      <c r="A17" s="6" t="s">
        <v>35</v>
      </c>
      <c r="B17" s="1">
        <v>72</v>
      </c>
      <c r="C17" s="1" t="s">
        <v>52</v>
      </c>
      <c r="D17" s="6" t="str">
        <f t="shared" si="0"/>
        <v>Not Eligible</v>
      </c>
    </row>
    <row r="18" spans="1:4" ht="15" x14ac:dyDescent="0.3">
      <c r="A18" s="6" t="s">
        <v>36</v>
      </c>
      <c r="B18" s="1">
        <v>88</v>
      </c>
      <c r="C18" s="1" t="s">
        <v>53</v>
      </c>
      <c r="D18" s="6" t="str">
        <f t="shared" si="0"/>
        <v>Not Eligible</v>
      </c>
    </row>
    <row r="19" spans="1:4" ht="15" x14ac:dyDescent="0.3">
      <c r="A19" s="6" t="s">
        <v>37</v>
      </c>
      <c r="B19" s="1">
        <v>88</v>
      </c>
      <c r="C19" s="1" t="s">
        <v>52</v>
      </c>
      <c r="D19" s="6" t="str">
        <f t="shared" si="0"/>
        <v>Eligible</v>
      </c>
    </row>
    <row r="20" spans="1:4" ht="15" x14ac:dyDescent="0.3">
      <c r="A20" s="6" t="s">
        <v>38</v>
      </c>
      <c r="B20" s="1">
        <v>62</v>
      </c>
      <c r="C20" s="1" t="s">
        <v>52</v>
      </c>
      <c r="D20" s="6" t="str">
        <f t="shared" si="0"/>
        <v>Not Eligible</v>
      </c>
    </row>
    <row r="21" spans="1:4" ht="15" x14ac:dyDescent="0.3">
      <c r="A21" s="6" t="s">
        <v>39</v>
      </c>
      <c r="B21" s="1">
        <v>85</v>
      </c>
      <c r="C21" s="1" t="s">
        <v>52</v>
      </c>
      <c r="D21" s="6" t="str">
        <f t="shared" si="0"/>
        <v>Eligible</v>
      </c>
    </row>
    <row r="22" spans="1:4" ht="15" x14ac:dyDescent="0.3">
      <c r="A22" s="6" t="s">
        <v>40</v>
      </c>
      <c r="B22" s="1">
        <v>81</v>
      </c>
      <c r="C22" s="1" t="s">
        <v>53</v>
      </c>
      <c r="D22" s="6" t="str">
        <f t="shared" si="0"/>
        <v>Not Eligible</v>
      </c>
    </row>
    <row r="23" spans="1:4" ht="15" x14ac:dyDescent="0.3">
      <c r="A23" s="6" t="s">
        <v>4</v>
      </c>
      <c r="B23" s="1">
        <v>100</v>
      </c>
      <c r="C23" s="1" t="s">
        <v>52</v>
      </c>
      <c r="D23" s="6" t="str">
        <f t="shared" si="0"/>
        <v>Eligible</v>
      </c>
    </row>
    <row r="24" spans="1:4" ht="15" x14ac:dyDescent="0.3">
      <c r="A24" s="6" t="s">
        <v>41</v>
      </c>
      <c r="B24" s="1">
        <v>99</v>
      </c>
      <c r="C24" s="1" t="s">
        <v>53</v>
      </c>
      <c r="D24" s="6" t="str">
        <f t="shared" si="0"/>
        <v>Not Eligible</v>
      </c>
    </row>
    <row r="25" spans="1:4" ht="15" x14ac:dyDescent="0.3">
      <c r="A25" s="6" t="s">
        <v>9</v>
      </c>
      <c r="B25" s="1">
        <v>94</v>
      </c>
      <c r="C25" s="1" t="s">
        <v>53</v>
      </c>
      <c r="D25" s="6" t="str">
        <f t="shared" si="0"/>
        <v>Not Eligible</v>
      </c>
    </row>
    <row r="26" spans="1:4" ht="15" x14ac:dyDescent="0.3">
      <c r="A26" s="6" t="s">
        <v>10</v>
      </c>
      <c r="B26" s="1">
        <v>94</v>
      </c>
      <c r="C26" s="1" t="s">
        <v>52</v>
      </c>
      <c r="D26" s="6" t="str">
        <f t="shared" si="0"/>
        <v>Eligible</v>
      </c>
    </row>
    <row r="27" spans="1:4" ht="15" x14ac:dyDescent="0.3">
      <c r="A27" s="6" t="s">
        <v>11</v>
      </c>
      <c r="B27" s="1">
        <v>55</v>
      </c>
      <c r="C27" s="1" t="s">
        <v>53</v>
      </c>
      <c r="D27" s="6" t="str">
        <f t="shared" si="0"/>
        <v>Not Eligible</v>
      </c>
    </row>
    <row r="28" spans="1:4" ht="15" x14ac:dyDescent="0.3">
      <c r="A28" s="6" t="s">
        <v>12</v>
      </c>
      <c r="B28" s="1">
        <v>88</v>
      </c>
      <c r="C28" s="1" t="s">
        <v>53</v>
      </c>
      <c r="D28" s="6" t="str">
        <f t="shared" si="0"/>
        <v>Not Eligible</v>
      </c>
    </row>
    <row r="29" spans="1:4" ht="15" x14ac:dyDescent="0.3">
      <c r="A29" s="6" t="s">
        <v>13</v>
      </c>
      <c r="B29" s="1">
        <v>77</v>
      </c>
      <c r="C29" s="1" t="s">
        <v>53</v>
      </c>
      <c r="D29" s="6" t="str">
        <f t="shared" si="0"/>
        <v>Not Eligible</v>
      </c>
    </row>
    <row r="30" spans="1:4" ht="15" x14ac:dyDescent="0.3">
      <c r="A30" s="6" t="s">
        <v>14</v>
      </c>
      <c r="B30" s="1">
        <v>73</v>
      </c>
      <c r="C30" s="1" t="s">
        <v>52</v>
      </c>
      <c r="D30" s="6" t="str">
        <f t="shared" si="0"/>
        <v>Not Eligible</v>
      </c>
    </row>
    <row r="31" spans="1:4" ht="15" x14ac:dyDescent="0.3">
      <c r="A31" s="6" t="s">
        <v>15</v>
      </c>
      <c r="B31" s="1">
        <v>80</v>
      </c>
      <c r="C31" s="1" t="s">
        <v>52</v>
      </c>
      <c r="D31" s="6" t="str">
        <f t="shared" si="0"/>
        <v>Eligible</v>
      </c>
    </row>
    <row r="32" spans="1:4" ht="15" x14ac:dyDescent="0.3">
      <c r="A32" s="6" t="s">
        <v>16</v>
      </c>
      <c r="B32" s="1">
        <v>57</v>
      </c>
      <c r="C32" s="1" t="s">
        <v>52</v>
      </c>
      <c r="D32" s="6" t="str">
        <f t="shared" si="0"/>
        <v>Not Eligible</v>
      </c>
    </row>
    <row r="33" spans="1:4" ht="15" x14ac:dyDescent="0.3">
      <c r="A33" s="6" t="s">
        <v>17</v>
      </c>
      <c r="B33" s="1">
        <v>97</v>
      </c>
      <c r="C33" s="1" t="s">
        <v>52</v>
      </c>
      <c r="D33" s="6" t="str">
        <f t="shared" si="0"/>
        <v>Eligible</v>
      </c>
    </row>
  </sheetData>
  <mergeCells count="1">
    <mergeCell ref="G2:I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7CF73-2C14-4443-80D0-7747BEAA8774}">
  <dimension ref="A1:I37"/>
  <sheetViews>
    <sheetView topLeftCell="A12" workbookViewId="0">
      <selection activeCell="A2" sqref="A2:A37"/>
    </sheetView>
  </sheetViews>
  <sheetFormatPr defaultRowHeight="14.4" x14ac:dyDescent="0.3"/>
  <cols>
    <col min="1" max="1" width="21.21875" bestFit="1" customWidth="1"/>
    <col min="2" max="2" width="23.21875" bestFit="1" customWidth="1"/>
    <col min="3" max="3" width="16.88671875" bestFit="1" customWidth="1"/>
    <col min="4" max="4" width="12.109375" bestFit="1" customWidth="1"/>
  </cols>
  <sheetData>
    <row r="1" spans="1:9" ht="20.399999999999999" x14ac:dyDescent="0.3">
      <c r="A1" s="12" t="s">
        <v>55</v>
      </c>
      <c r="B1" s="12" t="s">
        <v>56</v>
      </c>
      <c r="C1" s="12" t="s">
        <v>57</v>
      </c>
      <c r="D1" s="12" t="s">
        <v>58</v>
      </c>
    </row>
    <row r="2" spans="1:9" ht="15" x14ac:dyDescent="0.3">
      <c r="A2" s="6" t="s">
        <v>9</v>
      </c>
      <c r="B2" s="6">
        <v>9000</v>
      </c>
      <c r="C2" s="6" t="s">
        <v>53</v>
      </c>
      <c r="D2" s="6" t="str">
        <f>IF(OR(B2&gt;=10000,C2="Yes"),"Discount","No Discount")</f>
        <v>No Discount</v>
      </c>
      <c r="E2" s="2"/>
      <c r="F2" s="7" t="s">
        <v>60</v>
      </c>
      <c r="G2" s="7"/>
      <c r="H2" s="7"/>
      <c r="I2" s="7"/>
    </row>
    <row r="3" spans="1:9" ht="15" x14ac:dyDescent="0.3">
      <c r="A3" s="6" t="s">
        <v>59</v>
      </c>
      <c r="B3" s="6">
        <v>12000</v>
      </c>
      <c r="C3" s="6" t="s">
        <v>53</v>
      </c>
      <c r="D3" s="6" t="str">
        <f t="shared" ref="D3:D37" si="0">IF(OR(B3&gt;=10000,C3="Yes"),"Discount","No Discount")</f>
        <v>Discount</v>
      </c>
      <c r="F3" s="7"/>
      <c r="G3" s="7"/>
      <c r="H3" s="7"/>
      <c r="I3" s="7"/>
    </row>
    <row r="4" spans="1:9" ht="15" x14ac:dyDescent="0.3">
      <c r="A4" s="6" t="s">
        <v>6</v>
      </c>
      <c r="B4" s="6">
        <v>4000</v>
      </c>
      <c r="C4" s="6" t="s">
        <v>52</v>
      </c>
      <c r="D4" s="6" t="str">
        <f t="shared" si="0"/>
        <v>Discount</v>
      </c>
    </row>
    <row r="5" spans="1:9" ht="15" x14ac:dyDescent="0.3">
      <c r="A5" s="6" t="s">
        <v>12</v>
      </c>
      <c r="B5" s="6">
        <v>3000</v>
      </c>
      <c r="C5" s="6" t="s">
        <v>53</v>
      </c>
      <c r="D5" s="6" t="str">
        <f t="shared" si="0"/>
        <v>No Discount</v>
      </c>
    </row>
    <row r="6" spans="1:9" ht="15" x14ac:dyDescent="0.3">
      <c r="A6" s="6" t="s">
        <v>4</v>
      </c>
      <c r="B6" s="1">
        <v>2926</v>
      </c>
      <c r="C6" s="1" t="s">
        <v>52</v>
      </c>
      <c r="D6" s="6" t="str">
        <f t="shared" si="0"/>
        <v>Discount</v>
      </c>
    </row>
    <row r="7" spans="1:9" ht="15" x14ac:dyDescent="0.3">
      <c r="A7" s="6" t="s">
        <v>5</v>
      </c>
      <c r="B7" s="1">
        <v>15745</v>
      </c>
      <c r="C7" s="1" t="s">
        <v>53</v>
      </c>
      <c r="D7" s="6" t="str">
        <f t="shared" si="0"/>
        <v>Discount</v>
      </c>
    </row>
    <row r="8" spans="1:9" ht="15" x14ac:dyDescent="0.3">
      <c r="A8" s="6" t="s">
        <v>6</v>
      </c>
      <c r="B8" s="1">
        <v>12098</v>
      </c>
      <c r="C8" s="1" t="s">
        <v>52</v>
      </c>
      <c r="D8" s="6" t="str">
        <f t="shared" si="0"/>
        <v>Discount</v>
      </c>
    </row>
    <row r="9" spans="1:9" ht="15" x14ac:dyDescent="0.3">
      <c r="A9" s="6" t="s">
        <v>7</v>
      </c>
      <c r="B9" s="1">
        <v>6914</v>
      </c>
      <c r="C9" s="1" t="s">
        <v>52</v>
      </c>
      <c r="D9" s="6" t="str">
        <f t="shared" si="0"/>
        <v>Discount</v>
      </c>
    </row>
    <row r="10" spans="1:9" ht="15" x14ac:dyDescent="0.3">
      <c r="A10" s="6" t="s">
        <v>33</v>
      </c>
      <c r="B10" s="1">
        <v>19669</v>
      </c>
      <c r="C10" s="1" t="s">
        <v>53</v>
      </c>
      <c r="D10" s="6" t="str">
        <f t="shared" si="0"/>
        <v>Discount</v>
      </c>
    </row>
    <row r="11" spans="1:9" ht="15" x14ac:dyDescent="0.3">
      <c r="A11" s="6" t="s">
        <v>34</v>
      </c>
      <c r="B11" s="1">
        <v>16611</v>
      </c>
      <c r="C11" s="1" t="s">
        <v>52</v>
      </c>
      <c r="D11" s="6" t="str">
        <f t="shared" si="0"/>
        <v>Discount</v>
      </c>
    </row>
    <row r="12" spans="1:9" ht="15" x14ac:dyDescent="0.3">
      <c r="A12" s="6" t="s">
        <v>35</v>
      </c>
      <c r="B12" s="1">
        <v>18533</v>
      </c>
      <c r="C12" s="1" t="s">
        <v>53</v>
      </c>
      <c r="D12" s="6" t="str">
        <f t="shared" si="0"/>
        <v>Discount</v>
      </c>
    </row>
    <row r="13" spans="1:9" ht="15" x14ac:dyDescent="0.3">
      <c r="A13" s="6" t="s">
        <v>36</v>
      </c>
      <c r="B13" s="1">
        <v>5068</v>
      </c>
      <c r="C13" s="1" t="s">
        <v>53</v>
      </c>
      <c r="D13" s="6" t="str">
        <f t="shared" si="0"/>
        <v>No Discount</v>
      </c>
    </row>
    <row r="14" spans="1:9" ht="15" x14ac:dyDescent="0.3">
      <c r="A14" s="6" t="s">
        <v>4</v>
      </c>
      <c r="B14" s="1">
        <v>14243</v>
      </c>
      <c r="C14" s="1" t="s">
        <v>52</v>
      </c>
      <c r="D14" s="6" t="str">
        <f t="shared" si="0"/>
        <v>Discount</v>
      </c>
    </row>
    <row r="15" spans="1:9" ht="15" x14ac:dyDescent="0.3">
      <c r="A15" s="6" t="s">
        <v>5</v>
      </c>
      <c r="B15" s="1">
        <v>5249</v>
      </c>
      <c r="C15" s="1" t="s">
        <v>53</v>
      </c>
      <c r="D15" s="6" t="str">
        <f t="shared" si="0"/>
        <v>No Discount</v>
      </c>
    </row>
    <row r="16" spans="1:9" ht="15" x14ac:dyDescent="0.3">
      <c r="A16" s="6" t="s">
        <v>6</v>
      </c>
      <c r="B16" s="1">
        <v>9096</v>
      </c>
      <c r="C16" s="1" t="s">
        <v>52</v>
      </c>
      <c r="D16" s="6" t="str">
        <f t="shared" si="0"/>
        <v>Discount</v>
      </c>
    </row>
    <row r="17" spans="1:4" ht="15" x14ac:dyDescent="0.3">
      <c r="A17" s="6" t="s">
        <v>7</v>
      </c>
      <c r="B17" s="1">
        <v>14502</v>
      </c>
      <c r="C17" s="1" t="s">
        <v>53</v>
      </c>
      <c r="D17" s="6" t="str">
        <f t="shared" si="0"/>
        <v>Discount</v>
      </c>
    </row>
    <row r="18" spans="1:4" ht="15" x14ac:dyDescent="0.3">
      <c r="A18" s="6" t="s">
        <v>8</v>
      </c>
      <c r="B18" s="1">
        <v>17298</v>
      </c>
      <c r="C18" s="1" t="s">
        <v>53</v>
      </c>
      <c r="D18" s="6" t="str">
        <f t="shared" si="0"/>
        <v>Discount</v>
      </c>
    </row>
    <row r="19" spans="1:4" ht="15" x14ac:dyDescent="0.3">
      <c r="A19" s="6" t="s">
        <v>33</v>
      </c>
      <c r="B19" s="1">
        <v>9263</v>
      </c>
      <c r="C19" s="1" t="s">
        <v>53</v>
      </c>
      <c r="D19" s="6" t="str">
        <f t="shared" si="0"/>
        <v>No Discount</v>
      </c>
    </row>
    <row r="20" spans="1:4" ht="15" x14ac:dyDescent="0.3">
      <c r="A20" s="6" t="s">
        <v>34</v>
      </c>
      <c r="B20" s="1">
        <v>12283</v>
      </c>
      <c r="C20" s="1" t="s">
        <v>52</v>
      </c>
      <c r="D20" s="6" t="str">
        <f t="shared" si="0"/>
        <v>Discount</v>
      </c>
    </row>
    <row r="21" spans="1:4" ht="15" x14ac:dyDescent="0.3">
      <c r="A21" s="6" t="s">
        <v>35</v>
      </c>
      <c r="B21" s="1">
        <v>3360</v>
      </c>
      <c r="C21" s="1" t="s">
        <v>53</v>
      </c>
      <c r="D21" s="6" t="str">
        <f t="shared" si="0"/>
        <v>No Discount</v>
      </c>
    </row>
    <row r="22" spans="1:4" ht="15" x14ac:dyDescent="0.3">
      <c r="A22" s="6" t="s">
        <v>36</v>
      </c>
      <c r="B22" s="1">
        <v>14994</v>
      </c>
      <c r="C22" s="1" t="s">
        <v>52</v>
      </c>
      <c r="D22" s="6" t="str">
        <f t="shared" si="0"/>
        <v>Discount</v>
      </c>
    </row>
    <row r="23" spans="1:4" ht="15" x14ac:dyDescent="0.3">
      <c r="A23" s="6" t="s">
        <v>37</v>
      </c>
      <c r="B23" s="1">
        <v>7691</v>
      </c>
      <c r="C23" s="1" t="s">
        <v>53</v>
      </c>
      <c r="D23" s="6" t="str">
        <f t="shared" si="0"/>
        <v>No Discount</v>
      </c>
    </row>
    <row r="24" spans="1:4" ht="15" x14ac:dyDescent="0.3">
      <c r="A24" s="6" t="s">
        <v>38</v>
      </c>
      <c r="B24" s="1">
        <v>15084</v>
      </c>
      <c r="C24" s="1" t="s">
        <v>52</v>
      </c>
      <c r="D24" s="6" t="str">
        <f t="shared" si="0"/>
        <v>Discount</v>
      </c>
    </row>
    <row r="25" spans="1:4" ht="15" x14ac:dyDescent="0.3">
      <c r="A25" s="6" t="s">
        <v>39</v>
      </c>
      <c r="B25" s="1">
        <v>19618</v>
      </c>
      <c r="C25" s="1" t="s">
        <v>53</v>
      </c>
      <c r="D25" s="6" t="str">
        <f t="shared" si="0"/>
        <v>Discount</v>
      </c>
    </row>
    <row r="26" spans="1:4" ht="15" x14ac:dyDescent="0.3">
      <c r="A26" s="6" t="s">
        <v>40</v>
      </c>
      <c r="B26" s="1">
        <v>15357</v>
      </c>
      <c r="C26" s="1" t="s">
        <v>52</v>
      </c>
      <c r="D26" s="6" t="str">
        <f t="shared" si="0"/>
        <v>Discount</v>
      </c>
    </row>
    <row r="27" spans="1:4" ht="15" x14ac:dyDescent="0.3">
      <c r="A27" s="6" t="s">
        <v>4</v>
      </c>
      <c r="B27" s="1">
        <v>4861</v>
      </c>
      <c r="C27" s="1" t="s">
        <v>52</v>
      </c>
      <c r="D27" s="6" t="str">
        <f t="shared" si="0"/>
        <v>Discount</v>
      </c>
    </row>
    <row r="28" spans="1:4" ht="15" x14ac:dyDescent="0.3">
      <c r="A28" s="6" t="s">
        <v>41</v>
      </c>
      <c r="B28" s="1">
        <v>12717</v>
      </c>
      <c r="C28" s="1" t="s">
        <v>52</v>
      </c>
      <c r="D28" s="6" t="str">
        <f t="shared" si="0"/>
        <v>Discount</v>
      </c>
    </row>
    <row r="29" spans="1:4" ht="15" x14ac:dyDescent="0.3">
      <c r="A29" s="6" t="s">
        <v>9</v>
      </c>
      <c r="B29" s="1">
        <v>8969</v>
      </c>
      <c r="C29" s="1" t="s">
        <v>53</v>
      </c>
      <c r="D29" s="6" t="str">
        <f t="shared" si="0"/>
        <v>No Discount</v>
      </c>
    </row>
    <row r="30" spans="1:4" ht="15" x14ac:dyDescent="0.3">
      <c r="A30" s="6" t="s">
        <v>10</v>
      </c>
      <c r="B30" s="1">
        <v>11373</v>
      </c>
      <c r="C30" s="1" t="s">
        <v>52</v>
      </c>
      <c r="D30" s="6" t="str">
        <f t="shared" si="0"/>
        <v>Discount</v>
      </c>
    </row>
    <row r="31" spans="1:4" ht="15" x14ac:dyDescent="0.3">
      <c r="A31" s="6" t="s">
        <v>11</v>
      </c>
      <c r="B31" s="1">
        <v>16716</v>
      </c>
      <c r="C31" s="1" t="s">
        <v>53</v>
      </c>
      <c r="D31" s="6" t="str">
        <f t="shared" si="0"/>
        <v>Discount</v>
      </c>
    </row>
    <row r="32" spans="1:4" ht="15" x14ac:dyDescent="0.3">
      <c r="A32" s="6" t="s">
        <v>12</v>
      </c>
      <c r="B32" s="1">
        <v>13312</v>
      </c>
      <c r="C32" s="1" t="s">
        <v>53</v>
      </c>
      <c r="D32" s="6" t="str">
        <f t="shared" si="0"/>
        <v>Discount</v>
      </c>
    </row>
    <row r="33" spans="1:4" ht="15" x14ac:dyDescent="0.3">
      <c r="A33" s="6" t="s">
        <v>13</v>
      </c>
      <c r="B33" s="1">
        <v>11174</v>
      </c>
      <c r="C33" s="1" t="s">
        <v>53</v>
      </c>
      <c r="D33" s="6" t="str">
        <f t="shared" si="0"/>
        <v>Discount</v>
      </c>
    </row>
    <row r="34" spans="1:4" ht="15" x14ac:dyDescent="0.3">
      <c r="A34" s="6" t="s">
        <v>14</v>
      </c>
      <c r="B34" s="1">
        <v>5196</v>
      </c>
      <c r="C34" s="1" t="s">
        <v>52</v>
      </c>
      <c r="D34" s="6" t="str">
        <f t="shared" si="0"/>
        <v>Discount</v>
      </c>
    </row>
    <row r="35" spans="1:4" ht="15" x14ac:dyDescent="0.3">
      <c r="A35" s="6" t="s">
        <v>15</v>
      </c>
      <c r="B35" s="1">
        <v>8789</v>
      </c>
      <c r="C35" s="1" t="s">
        <v>53</v>
      </c>
      <c r="D35" s="6" t="str">
        <f t="shared" si="0"/>
        <v>No Discount</v>
      </c>
    </row>
    <row r="36" spans="1:4" ht="15" x14ac:dyDescent="0.3">
      <c r="A36" s="6" t="s">
        <v>16</v>
      </c>
      <c r="B36" s="1">
        <v>14531</v>
      </c>
      <c r="C36" s="1" t="s">
        <v>53</v>
      </c>
      <c r="D36" s="6" t="str">
        <f t="shared" si="0"/>
        <v>Discount</v>
      </c>
    </row>
    <row r="37" spans="1:4" ht="15" x14ac:dyDescent="0.3">
      <c r="A37" s="6" t="s">
        <v>17</v>
      </c>
      <c r="B37" s="1">
        <v>19080</v>
      </c>
      <c r="C37" s="1" t="s">
        <v>53</v>
      </c>
      <c r="D37" s="6" t="str">
        <f t="shared" si="0"/>
        <v>Discount</v>
      </c>
    </row>
  </sheetData>
  <mergeCells count="1">
    <mergeCell ref="F2:I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8BDB9-5DB2-4786-8D3E-226DB4FC0DE6}">
  <dimension ref="A1:I41"/>
  <sheetViews>
    <sheetView topLeftCell="A16" workbookViewId="0">
      <selection activeCell="A2" sqref="A2:A41"/>
    </sheetView>
  </sheetViews>
  <sheetFormatPr defaultRowHeight="14.4" x14ac:dyDescent="0.3"/>
  <cols>
    <col min="1" max="1" width="13.33203125" bestFit="1" customWidth="1"/>
    <col min="2" max="2" width="8.6640625" bestFit="1" customWidth="1"/>
    <col min="3" max="3" width="15" bestFit="1" customWidth="1"/>
    <col min="4" max="4" width="15.6640625" bestFit="1" customWidth="1"/>
  </cols>
  <sheetData>
    <row r="1" spans="1:9" ht="20.399999999999999" x14ac:dyDescent="0.3">
      <c r="A1" s="14" t="s">
        <v>61</v>
      </c>
      <c r="B1" s="14" t="s">
        <v>31</v>
      </c>
      <c r="C1" s="14" t="s">
        <v>62</v>
      </c>
      <c r="D1" s="14" t="s">
        <v>63</v>
      </c>
    </row>
    <row r="2" spans="1:9" ht="15" x14ac:dyDescent="0.3">
      <c r="A2" s="13" t="s">
        <v>33</v>
      </c>
      <c r="B2" s="13">
        <v>35000</v>
      </c>
      <c r="C2" s="13">
        <v>720</v>
      </c>
      <c r="D2" s="13" t="str">
        <f>IF(OR(B2&gt;=40000,C2&gt;=700),"Approve","Not Approve")</f>
        <v>Approve</v>
      </c>
      <c r="G2" s="7" t="s">
        <v>64</v>
      </c>
      <c r="H2" s="7"/>
      <c r="I2" s="7"/>
    </row>
    <row r="3" spans="1:9" ht="15" x14ac:dyDescent="0.3">
      <c r="A3" s="13" t="s">
        <v>34</v>
      </c>
      <c r="B3" s="13">
        <v>25000</v>
      </c>
      <c r="C3" s="13">
        <v>680</v>
      </c>
      <c r="D3" s="13" t="str">
        <f t="shared" ref="D3:D41" si="0">IF(OR(B3&gt;=40000,C3&gt;=700),"Approve","Not Approve")</f>
        <v>Not Approve</v>
      </c>
      <c r="G3" s="7"/>
      <c r="H3" s="7"/>
      <c r="I3" s="7"/>
    </row>
    <row r="4" spans="1:9" ht="15" x14ac:dyDescent="0.3">
      <c r="A4" s="13" t="s">
        <v>35</v>
      </c>
      <c r="B4" s="13">
        <v>50000</v>
      </c>
      <c r="C4" s="13">
        <v>650</v>
      </c>
      <c r="D4" s="13" t="str">
        <f t="shared" si="0"/>
        <v>Approve</v>
      </c>
      <c r="G4" s="7"/>
      <c r="H4" s="7"/>
      <c r="I4" s="7"/>
    </row>
    <row r="5" spans="1:9" ht="15" x14ac:dyDescent="0.3">
      <c r="A5" s="13" t="s">
        <v>36</v>
      </c>
      <c r="B5" s="13">
        <v>20000</v>
      </c>
      <c r="C5" s="13">
        <v>600</v>
      </c>
      <c r="D5" s="13" t="str">
        <f t="shared" si="0"/>
        <v>Not Approve</v>
      </c>
    </row>
    <row r="6" spans="1:9" ht="15" x14ac:dyDescent="0.3">
      <c r="A6" s="13" t="s">
        <v>9</v>
      </c>
      <c r="B6" s="13">
        <v>24993</v>
      </c>
      <c r="C6" s="13">
        <v>766</v>
      </c>
      <c r="D6" s="13" t="str">
        <f t="shared" si="0"/>
        <v>Approve</v>
      </c>
    </row>
    <row r="7" spans="1:9" ht="15" x14ac:dyDescent="0.3">
      <c r="A7" s="13" t="s">
        <v>59</v>
      </c>
      <c r="B7" s="13">
        <v>22757</v>
      </c>
      <c r="C7" s="13">
        <v>699</v>
      </c>
      <c r="D7" s="13" t="str">
        <f t="shared" si="0"/>
        <v>Not Approve</v>
      </c>
    </row>
    <row r="8" spans="1:9" ht="15" x14ac:dyDescent="0.3">
      <c r="A8" s="13" t="s">
        <v>6</v>
      </c>
      <c r="B8" s="13">
        <v>24489</v>
      </c>
      <c r="C8" s="13">
        <v>695</v>
      </c>
      <c r="D8" s="13" t="str">
        <f t="shared" si="0"/>
        <v>Not Approve</v>
      </c>
    </row>
    <row r="9" spans="1:9" ht="15" x14ac:dyDescent="0.3">
      <c r="A9" s="13" t="s">
        <v>12</v>
      </c>
      <c r="B9" s="13">
        <v>39393</v>
      </c>
      <c r="C9" s="13">
        <v>797</v>
      </c>
      <c r="D9" s="13" t="str">
        <f t="shared" si="0"/>
        <v>Approve</v>
      </c>
    </row>
    <row r="10" spans="1:9" ht="15" x14ac:dyDescent="0.3">
      <c r="A10" s="13" t="s">
        <v>4</v>
      </c>
      <c r="B10" s="13">
        <v>49848</v>
      </c>
      <c r="C10" s="13">
        <v>690</v>
      </c>
      <c r="D10" s="13" t="str">
        <f t="shared" si="0"/>
        <v>Approve</v>
      </c>
    </row>
    <row r="11" spans="1:9" ht="15" x14ac:dyDescent="0.3">
      <c r="A11" s="13" t="s">
        <v>5</v>
      </c>
      <c r="B11" s="13">
        <v>17445</v>
      </c>
      <c r="C11" s="13">
        <v>692</v>
      </c>
      <c r="D11" s="13" t="str">
        <f t="shared" si="0"/>
        <v>Not Approve</v>
      </c>
    </row>
    <row r="12" spans="1:9" ht="15" x14ac:dyDescent="0.3">
      <c r="A12" s="13" t="s">
        <v>6</v>
      </c>
      <c r="B12" s="13">
        <v>30599</v>
      </c>
      <c r="C12" s="13">
        <v>763</v>
      </c>
      <c r="D12" s="13" t="str">
        <f t="shared" si="0"/>
        <v>Approve</v>
      </c>
    </row>
    <row r="13" spans="1:9" ht="15" x14ac:dyDescent="0.3">
      <c r="A13" s="13" t="s">
        <v>7</v>
      </c>
      <c r="B13" s="13">
        <v>49235</v>
      </c>
      <c r="C13" s="13">
        <v>757</v>
      </c>
      <c r="D13" s="13" t="str">
        <f t="shared" si="0"/>
        <v>Approve</v>
      </c>
    </row>
    <row r="14" spans="1:9" ht="15" x14ac:dyDescent="0.3">
      <c r="A14" s="13" t="s">
        <v>33</v>
      </c>
      <c r="B14" s="13">
        <v>39357</v>
      </c>
      <c r="C14" s="13">
        <v>684</v>
      </c>
      <c r="D14" s="13" t="str">
        <f t="shared" si="0"/>
        <v>Not Approve</v>
      </c>
    </row>
    <row r="15" spans="1:9" ht="15" x14ac:dyDescent="0.3">
      <c r="A15" s="13" t="s">
        <v>34</v>
      </c>
      <c r="B15" s="13">
        <v>52764</v>
      </c>
      <c r="C15" s="13">
        <v>726</v>
      </c>
      <c r="D15" s="13" t="str">
        <f t="shared" si="0"/>
        <v>Approve</v>
      </c>
    </row>
    <row r="16" spans="1:9" ht="15" x14ac:dyDescent="0.3">
      <c r="A16" s="13" t="s">
        <v>35</v>
      </c>
      <c r="B16" s="13">
        <v>32481</v>
      </c>
      <c r="C16" s="13">
        <v>788</v>
      </c>
      <c r="D16" s="13" t="str">
        <f t="shared" si="0"/>
        <v>Approve</v>
      </c>
    </row>
    <row r="17" spans="1:4" ht="15" x14ac:dyDescent="0.3">
      <c r="A17" s="13" t="s">
        <v>36</v>
      </c>
      <c r="B17" s="13">
        <v>18079</v>
      </c>
      <c r="C17" s="13">
        <v>714</v>
      </c>
      <c r="D17" s="13" t="str">
        <f t="shared" si="0"/>
        <v>Approve</v>
      </c>
    </row>
    <row r="18" spans="1:4" ht="15" x14ac:dyDescent="0.3">
      <c r="A18" s="13" t="s">
        <v>4</v>
      </c>
      <c r="B18" s="13">
        <v>39874</v>
      </c>
      <c r="C18" s="13">
        <v>691</v>
      </c>
      <c r="D18" s="13" t="str">
        <f t="shared" si="0"/>
        <v>Not Approve</v>
      </c>
    </row>
    <row r="19" spans="1:4" ht="15" x14ac:dyDescent="0.3">
      <c r="A19" s="13" t="s">
        <v>5</v>
      </c>
      <c r="B19" s="13">
        <v>23127</v>
      </c>
      <c r="C19" s="13">
        <v>715</v>
      </c>
      <c r="D19" s="13" t="str">
        <f t="shared" si="0"/>
        <v>Approve</v>
      </c>
    </row>
    <row r="20" spans="1:4" ht="15" x14ac:dyDescent="0.3">
      <c r="A20" s="13" t="s">
        <v>6</v>
      </c>
      <c r="B20" s="13">
        <v>23480</v>
      </c>
      <c r="C20" s="13">
        <v>746</v>
      </c>
      <c r="D20" s="13" t="str">
        <f t="shared" si="0"/>
        <v>Approve</v>
      </c>
    </row>
    <row r="21" spans="1:4" ht="15" x14ac:dyDescent="0.3">
      <c r="A21" s="13" t="s">
        <v>7</v>
      </c>
      <c r="B21" s="13">
        <v>42322</v>
      </c>
      <c r="C21" s="13">
        <v>691</v>
      </c>
      <c r="D21" s="13" t="str">
        <f t="shared" si="0"/>
        <v>Approve</v>
      </c>
    </row>
    <row r="22" spans="1:4" ht="15" x14ac:dyDescent="0.3">
      <c r="A22" s="13" t="s">
        <v>8</v>
      </c>
      <c r="B22" s="13">
        <v>21771</v>
      </c>
      <c r="C22" s="13">
        <v>701</v>
      </c>
      <c r="D22" s="13" t="str">
        <f t="shared" si="0"/>
        <v>Approve</v>
      </c>
    </row>
    <row r="23" spans="1:4" ht="15" x14ac:dyDescent="0.3">
      <c r="A23" s="13" t="s">
        <v>33</v>
      </c>
      <c r="B23" s="13">
        <v>10889</v>
      </c>
      <c r="C23" s="13">
        <v>690</v>
      </c>
      <c r="D23" s="13" t="str">
        <f t="shared" si="0"/>
        <v>Not Approve</v>
      </c>
    </row>
    <row r="24" spans="1:4" ht="15" x14ac:dyDescent="0.3">
      <c r="A24" s="13" t="s">
        <v>34</v>
      </c>
      <c r="B24" s="13">
        <v>49373</v>
      </c>
      <c r="C24" s="13">
        <v>721</v>
      </c>
      <c r="D24" s="13" t="str">
        <f t="shared" si="0"/>
        <v>Approve</v>
      </c>
    </row>
    <row r="25" spans="1:4" ht="15" x14ac:dyDescent="0.3">
      <c r="A25" s="13" t="s">
        <v>35</v>
      </c>
      <c r="B25" s="13">
        <v>51385</v>
      </c>
      <c r="C25" s="13">
        <v>676</v>
      </c>
      <c r="D25" s="13" t="str">
        <f t="shared" si="0"/>
        <v>Approve</v>
      </c>
    </row>
    <row r="26" spans="1:4" ht="15" x14ac:dyDescent="0.3">
      <c r="A26" s="13" t="s">
        <v>36</v>
      </c>
      <c r="B26" s="13">
        <v>58138</v>
      </c>
      <c r="C26" s="13">
        <v>660</v>
      </c>
      <c r="D26" s="13" t="str">
        <f t="shared" si="0"/>
        <v>Approve</v>
      </c>
    </row>
    <row r="27" spans="1:4" ht="15" x14ac:dyDescent="0.3">
      <c r="A27" s="13" t="s">
        <v>37</v>
      </c>
      <c r="B27" s="13">
        <v>35340</v>
      </c>
      <c r="C27" s="13">
        <v>793</v>
      </c>
      <c r="D27" s="13" t="str">
        <f t="shared" si="0"/>
        <v>Approve</v>
      </c>
    </row>
    <row r="28" spans="1:4" ht="15" x14ac:dyDescent="0.3">
      <c r="A28" s="13" t="s">
        <v>38</v>
      </c>
      <c r="B28" s="13">
        <v>25782</v>
      </c>
      <c r="C28" s="13">
        <v>771</v>
      </c>
      <c r="D28" s="13" t="str">
        <f t="shared" si="0"/>
        <v>Approve</v>
      </c>
    </row>
    <row r="29" spans="1:4" ht="15" x14ac:dyDescent="0.3">
      <c r="A29" s="13" t="s">
        <v>39</v>
      </c>
      <c r="B29" s="13">
        <v>38138</v>
      </c>
      <c r="C29" s="13">
        <v>800</v>
      </c>
      <c r="D29" s="13" t="str">
        <f t="shared" si="0"/>
        <v>Approve</v>
      </c>
    </row>
    <row r="30" spans="1:4" ht="15" x14ac:dyDescent="0.3">
      <c r="A30" s="13" t="s">
        <v>40</v>
      </c>
      <c r="B30" s="13">
        <v>34335</v>
      </c>
      <c r="C30" s="13">
        <v>680</v>
      </c>
      <c r="D30" s="13" t="str">
        <f t="shared" si="0"/>
        <v>Not Approve</v>
      </c>
    </row>
    <row r="31" spans="1:4" ht="15" x14ac:dyDescent="0.3">
      <c r="A31" s="13" t="s">
        <v>4</v>
      </c>
      <c r="B31" s="13">
        <v>12000</v>
      </c>
      <c r="C31" s="13">
        <v>772</v>
      </c>
      <c r="D31" s="13" t="str">
        <f t="shared" si="0"/>
        <v>Approve</v>
      </c>
    </row>
    <row r="32" spans="1:4" ht="15" x14ac:dyDescent="0.3">
      <c r="A32" s="13" t="s">
        <v>41</v>
      </c>
      <c r="B32" s="13">
        <v>35411</v>
      </c>
      <c r="C32" s="13">
        <v>688</v>
      </c>
      <c r="D32" s="13" t="str">
        <f t="shared" si="0"/>
        <v>Not Approve</v>
      </c>
    </row>
    <row r="33" spans="1:4" ht="15" x14ac:dyDescent="0.3">
      <c r="A33" s="13" t="s">
        <v>9</v>
      </c>
      <c r="B33" s="13">
        <v>59611</v>
      </c>
      <c r="C33" s="13">
        <v>746</v>
      </c>
      <c r="D33" s="13" t="str">
        <f t="shared" si="0"/>
        <v>Approve</v>
      </c>
    </row>
    <row r="34" spans="1:4" ht="15" x14ac:dyDescent="0.3">
      <c r="A34" s="13" t="s">
        <v>10</v>
      </c>
      <c r="B34" s="13">
        <v>42343</v>
      </c>
      <c r="C34" s="13">
        <v>760</v>
      </c>
      <c r="D34" s="13" t="str">
        <f t="shared" si="0"/>
        <v>Approve</v>
      </c>
    </row>
    <row r="35" spans="1:4" ht="15" x14ac:dyDescent="0.3">
      <c r="A35" s="13" t="s">
        <v>11</v>
      </c>
      <c r="B35" s="13">
        <v>35054</v>
      </c>
      <c r="C35" s="13">
        <v>683</v>
      </c>
      <c r="D35" s="13" t="str">
        <f t="shared" si="0"/>
        <v>Not Approve</v>
      </c>
    </row>
    <row r="36" spans="1:4" ht="15" x14ac:dyDescent="0.3">
      <c r="A36" s="13" t="s">
        <v>12</v>
      </c>
      <c r="B36" s="13">
        <v>11659</v>
      </c>
      <c r="C36" s="13">
        <v>750</v>
      </c>
      <c r="D36" s="13" t="str">
        <f t="shared" si="0"/>
        <v>Approve</v>
      </c>
    </row>
    <row r="37" spans="1:4" ht="15" x14ac:dyDescent="0.3">
      <c r="A37" s="13" t="s">
        <v>13</v>
      </c>
      <c r="B37" s="13">
        <v>24416</v>
      </c>
      <c r="C37" s="13">
        <v>730</v>
      </c>
      <c r="D37" s="13" t="str">
        <f t="shared" si="0"/>
        <v>Approve</v>
      </c>
    </row>
    <row r="38" spans="1:4" ht="15" x14ac:dyDescent="0.3">
      <c r="A38" s="13" t="s">
        <v>14</v>
      </c>
      <c r="B38" s="13">
        <v>32108</v>
      </c>
      <c r="C38" s="13">
        <v>689</v>
      </c>
      <c r="D38" s="13" t="str">
        <f t="shared" si="0"/>
        <v>Not Approve</v>
      </c>
    </row>
    <row r="39" spans="1:4" ht="15" x14ac:dyDescent="0.3">
      <c r="A39" s="13" t="s">
        <v>15</v>
      </c>
      <c r="B39" s="13">
        <v>34889</v>
      </c>
      <c r="C39" s="13">
        <v>675</v>
      </c>
      <c r="D39" s="13" t="str">
        <f t="shared" si="0"/>
        <v>Not Approve</v>
      </c>
    </row>
    <row r="40" spans="1:4" ht="15" x14ac:dyDescent="0.3">
      <c r="A40" s="13" t="s">
        <v>16</v>
      </c>
      <c r="B40" s="13">
        <v>55159</v>
      </c>
      <c r="C40" s="13">
        <v>658</v>
      </c>
      <c r="D40" s="13" t="str">
        <f t="shared" si="0"/>
        <v>Approve</v>
      </c>
    </row>
    <row r="41" spans="1:4" ht="15" x14ac:dyDescent="0.3">
      <c r="A41" s="13" t="s">
        <v>17</v>
      </c>
      <c r="B41" s="13">
        <v>36469</v>
      </c>
      <c r="C41" s="13">
        <v>754</v>
      </c>
      <c r="D41" s="13" t="str">
        <f t="shared" si="0"/>
        <v>Approve</v>
      </c>
    </row>
  </sheetData>
  <mergeCells count="1">
    <mergeCell ref="G2:I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0CDC8-A04E-4151-A138-FE46F0DDC3E6}">
  <dimension ref="A1:G45"/>
  <sheetViews>
    <sheetView topLeftCell="A20" workbookViewId="0">
      <selection activeCell="A2" sqref="A2:A45"/>
    </sheetView>
  </sheetViews>
  <sheetFormatPr defaultRowHeight="14.4" x14ac:dyDescent="0.3"/>
  <cols>
    <col min="1" max="1" width="9.5546875" bestFit="1" customWidth="1"/>
    <col min="2" max="2" width="11.6640625" bestFit="1" customWidth="1"/>
    <col min="3" max="3" width="9.88671875" bestFit="1" customWidth="1"/>
  </cols>
  <sheetData>
    <row r="1" spans="1:7" ht="24.6" x14ac:dyDescent="0.3">
      <c r="A1" s="15" t="s">
        <v>45</v>
      </c>
      <c r="B1" s="15" t="s">
        <v>65</v>
      </c>
      <c r="C1" s="15" t="s">
        <v>66</v>
      </c>
    </row>
    <row r="2" spans="1:7" ht="15" x14ac:dyDescent="0.3">
      <c r="A2" s="6" t="s">
        <v>4</v>
      </c>
      <c r="B2" s="6" t="b">
        <v>1</v>
      </c>
      <c r="C2" s="6" t="str">
        <f>IF(NOT(B2),"Absent","Present")</f>
        <v>Present</v>
      </c>
      <c r="E2" s="7" t="s">
        <v>69</v>
      </c>
      <c r="F2" s="7"/>
      <c r="G2" s="7"/>
    </row>
    <row r="3" spans="1:7" ht="15" x14ac:dyDescent="0.3">
      <c r="A3" s="6" t="s">
        <v>5</v>
      </c>
      <c r="B3" s="6" t="b">
        <v>0</v>
      </c>
      <c r="C3" s="6" t="str">
        <f t="shared" ref="C3:C45" si="0">IF(NOT(B3),"Absent","Present")</f>
        <v>Absent</v>
      </c>
      <c r="E3" s="7"/>
      <c r="F3" s="7"/>
      <c r="G3" s="7"/>
    </row>
    <row r="4" spans="1:7" ht="15" x14ac:dyDescent="0.3">
      <c r="A4" s="6" t="s">
        <v>6</v>
      </c>
      <c r="B4" s="6" t="b">
        <v>1</v>
      </c>
      <c r="C4" s="6" t="str">
        <f t="shared" si="0"/>
        <v>Present</v>
      </c>
      <c r="E4" s="7"/>
      <c r="F4" s="7"/>
      <c r="G4" s="7"/>
    </row>
    <row r="5" spans="1:7" ht="15" x14ac:dyDescent="0.3">
      <c r="A5" s="6" t="s">
        <v>7</v>
      </c>
      <c r="B5" s="6" t="b">
        <v>0</v>
      </c>
      <c r="C5" s="6" t="str">
        <f t="shared" si="0"/>
        <v>Absent</v>
      </c>
    </row>
    <row r="6" spans="1:7" ht="15" x14ac:dyDescent="0.3">
      <c r="A6" s="6" t="s">
        <v>33</v>
      </c>
      <c r="B6" s="6" t="s">
        <v>67</v>
      </c>
      <c r="C6" s="6" t="str">
        <f t="shared" si="0"/>
        <v>Present</v>
      </c>
    </row>
    <row r="7" spans="1:7" ht="15" x14ac:dyDescent="0.3">
      <c r="A7" s="6" t="s">
        <v>34</v>
      </c>
      <c r="B7" s="6" t="s">
        <v>68</v>
      </c>
      <c r="C7" s="6" t="str">
        <f t="shared" si="0"/>
        <v>Absent</v>
      </c>
    </row>
    <row r="8" spans="1:7" ht="15" x14ac:dyDescent="0.3">
      <c r="A8" s="6" t="s">
        <v>35</v>
      </c>
      <c r="B8" s="6" t="s">
        <v>67</v>
      </c>
      <c r="C8" s="6" t="str">
        <f t="shared" si="0"/>
        <v>Present</v>
      </c>
    </row>
    <row r="9" spans="1:7" ht="15" x14ac:dyDescent="0.3">
      <c r="A9" s="6" t="s">
        <v>36</v>
      </c>
      <c r="B9" s="6" t="s">
        <v>67</v>
      </c>
      <c r="C9" s="6" t="str">
        <f t="shared" si="0"/>
        <v>Present</v>
      </c>
    </row>
    <row r="10" spans="1:7" ht="15" x14ac:dyDescent="0.3">
      <c r="A10" s="6" t="s">
        <v>9</v>
      </c>
      <c r="B10" s="6" t="s">
        <v>68</v>
      </c>
      <c r="C10" s="6" t="str">
        <f t="shared" si="0"/>
        <v>Absent</v>
      </c>
    </row>
    <row r="11" spans="1:7" ht="15" x14ac:dyDescent="0.3">
      <c r="A11" s="6" t="s">
        <v>59</v>
      </c>
      <c r="B11" s="6" t="s">
        <v>68</v>
      </c>
      <c r="C11" s="6" t="str">
        <f t="shared" si="0"/>
        <v>Absent</v>
      </c>
    </row>
    <row r="12" spans="1:7" ht="15" x14ac:dyDescent="0.3">
      <c r="A12" s="6" t="s">
        <v>6</v>
      </c>
      <c r="B12" s="6" t="s">
        <v>68</v>
      </c>
      <c r="C12" s="6" t="str">
        <f t="shared" si="0"/>
        <v>Absent</v>
      </c>
    </row>
    <row r="13" spans="1:7" ht="15" x14ac:dyDescent="0.3">
      <c r="A13" s="6" t="s">
        <v>12</v>
      </c>
      <c r="B13" s="6" t="s">
        <v>68</v>
      </c>
      <c r="C13" s="6" t="str">
        <f t="shared" si="0"/>
        <v>Absent</v>
      </c>
    </row>
    <row r="14" spans="1:7" ht="15" x14ac:dyDescent="0.3">
      <c r="A14" s="6" t="s">
        <v>4</v>
      </c>
      <c r="B14" s="6" t="s">
        <v>67</v>
      </c>
      <c r="C14" s="6" t="str">
        <f t="shared" si="0"/>
        <v>Present</v>
      </c>
    </row>
    <row r="15" spans="1:7" ht="15" x14ac:dyDescent="0.3">
      <c r="A15" s="6" t="s">
        <v>5</v>
      </c>
      <c r="B15" s="6" t="s">
        <v>67</v>
      </c>
      <c r="C15" s="6" t="str">
        <f t="shared" si="0"/>
        <v>Present</v>
      </c>
    </row>
    <row r="16" spans="1:7" ht="15" x14ac:dyDescent="0.3">
      <c r="A16" s="6" t="s">
        <v>6</v>
      </c>
      <c r="B16" s="6" t="s">
        <v>68</v>
      </c>
      <c r="C16" s="6" t="str">
        <f t="shared" si="0"/>
        <v>Absent</v>
      </c>
    </row>
    <row r="17" spans="1:3" ht="15" x14ac:dyDescent="0.3">
      <c r="A17" s="6" t="s">
        <v>7</v>
      </c>
      <c r="B17" s="6" t="s">
        <v>68</v>
      </c>
      <c r="C17" s="6" t="str">
        <f t="shared" si="0"/>
        <v>Absent</v>
      </c>
    </row>
    <row r="18" spans="1:3" ht="15" x14ac:dyDescent="0.3">
      <c r="A18" s="6" t="s">
        <v>33</v>
      </c>
      <c r="B18" s="6" t="s">
        <v>67</v>
      </c>
      <c r="C18" s="6" t="str">
        <f t="shared" si="0"/>
        <v>Present</v>
      </c>
    </row>
    <row r="19" spans="1:3" ht="15" x14ac:dyDescent="0.3">
      <c r="A19" s="6" t="s">
        <v>34</v>
      </c>
      <c r="B19" s="6" t="s">
        <v>68</v>
      </c>
      <c r="C19" s="6" t="str">
        <f t="shared" si="0"/>
        <v>Absent</v>
      </c>
    </row>
    <row r="20" spans="1:3" ht="15" x14ac:dyDescent="0.3">
      <c r="A20" s="6" t="s">
        <v>35</v>
      </c>
      <c r="B20" s="6" t="s">
        <v>68</v>
      </c>
      <c r="C20" s="6" t="str">
        <f t="shared" si="0"/>
        <v>Absent</v>
      </c>
    </row>
    <row r="21" spans="1:3" ht="15" x14ac:dyDescent="0.3">
      <c r="A21" s="6" t="s">
        <v>36</v>
      </c>
      <c r="B21" s="6" t="s">
        <v>67</v>
      </c>
      <c r="C21" s="6" t="str">
        <f t="shared" si="0"/>
        <v>Present</v>
      </c>
    </row>
    <row r="22" spans="1:3" ht="15" x14ac:dyDescent="0.3">
      <c r="A22" s="6" t="s">
        <v>4</v>
      </c>
      <c r="B22" s="6" t="s">
        <v>67</v>
      </c>
      <c r="C22" s="6" t="str">
        <f t="shared" si="0"/>
        <v>Present</v>
      </c>
    </row>
    <row r="23" spans="1:3" ht="15" x14ac:dyDescent="0.3">
      <c r="A23" s="6" t="s">
        <v>5</v>
      </c>
      <c r="B23" s="6" t="s">
        <v>67</v>
      </c>
      <c r="C23" s="6" t="str">
        <f t="shared" si="0"/>
        <v>Present</v>
      </c>
    </row>
    <row r="24" spans="1:3" ht="15" x14ac:dyDescent="0.3">
      <c r="A24" s="6" t="s">
        <v>6</v>
      </c>
      <c r="B24" s="6" t="s">
        <v>68</v>
      </c>
      <c r="C24" s="6" t="str">
        <f t="shared" si="0"/>
        <v>Absent</v>
      </c>
    </row>
    <row r="25" spans="1:3" ht="15" x14ac:dyDescent="0.3">
      <c r="A25" s="6" t="s">
        <v>7</v>
      </c>
      <c r="B25" s="6" t="s">
        <v>68</v>
      </c>
      <c r="C25" s="6" t="str">
        <f t="shared" si="0"/>
        <v>Absent</v>
      </c>
    </row>
    <row r="26" spans="1:3" ht="15" x14ac:dyDescent="0.3">
      <c r="A26" s="6" t="s">
        <v>8</v>
      </c>
      <c r="B26" s="6" t="s">
        <v>68</v>
      </c>
      <c r="C26" s="6" t="str">
        <f t="shared" si="0"/>
        <v>Absent</v>
      </c>
    </row>
    <row r="27" spans="1:3" ht="15" x14ac:dyDescent="0.3">
      <c r="A27" s="6" t="s">
        <v>33</v>
      </c>
      <c r="B27" s="6" t="s">
        <v>68</v>
      </c>
      <c r="C27" s="6" t="str">
        <f t="shared" si="0"/>
        <v>Absent</v>
      </c>
    </row>
    <row r="28" spans="1:3" ht="15" x14ac:dyDescent="0.3">
      <c r="A28" s="6" t="s">
        <v>34</v>
      </c>
      <c r="B28" s="6" t="s">
        <v>68</v>
      </c>
      <c r="C28" s="6" t="str">
        <f t="shared" si="0"/>
        <v>Absent</v>
      </c>
    </row>
    <row r="29" spans="1:3" ht="15" x14ac:dyDescent="0.3">
      <c r="A29" s="6" t="s">
        <v>35</v>
      </c>
      <c r="B29" s="6" t="s">
        <v>67</v>
      </c>
      <c r="C29" s="6" t="str">
        <f t="shared" si="0"/>
        <v>Present</v>
      </c>
    </row>
    <row r="30" spans="1:3" ht="15" x14ac:dyDescent="0.3">
      <c r="A30" s="6" t="s">
        <v>36</v>
      </c>
      <c r="B30" s="6" t="s">
        <v>67</v>
      </c>
      <c r="C30" s="6" t="str">
        <f t="shared" si="0"/>
        <v>Present</v>
      </c>
    </row>
    <row r="31" spans="1:3" ht="15" x14ac:dyDescent="0.3">
      <c r="A31" s="6" t="s">
        <v>37</v>
      </c>
      <c r="B31" s="6" t="s">
        <v>68</v>
      </c>
      <c r="C31" s="6" t="str">
        <f t="shared" si="0"/>
        <v>Absent</v>
      </c>
    </row>
    <row r="32" spans="1:3" ht="15" x14ac:dyDescent="0.3">
      <c r="A32" s="6" t="s">
        <v>38</v>
      </c>
      <c r="B32" s="6" t="s">
        <v>68</v>
      </c>
      <c r="C32" s="6" t="str">
        <f t="shared" si="0"/>
        <v>Absent</v>
      </c>
    </row>
    <row r="33" spans="1:3" ht="15" x14ac:dyDescent="0.3">
      <c r="A33" s="6" t="s">
        <v>39</v>
      </c>
      <c r="B33" s="6" t="s">
        <v>67</v>
      </c>
      <c r="C33" s="6" t="str">
        <f t="shared" si="0"/>
        <v>Present</v>
      </c>
    </row>
    <row r="34" spans="1:3" ht="15" x14ac:dyDescent="0.3">
      <c r="A34" s="6" t="s">
        <v>40</v>
      </c>
      <c r="B34" s="6" t="s">
        <v>68</v>
      </c>
      <c r="C34" s="6" t="str">
        <f t="shared" si="0"/>
        <v>Absent</v>
      </c>
    </row>
    <row r="35" spans="1:3" ht="15" x14ac:dyDescent="0.3">
      <c r="A35" s="6" t="s">
        <v>4</v>
      </c>
      <c r="B35" s="6" t="s">
        <v>67</v>
      </c>
      <c r="C35" s="6" t="str">
        <f t="shared" si="0"/>
        <v>Present</v>
      </c>
    </row>
    <row r="36" spans="1:3" ht="15" x14ac:dyDescent="0.3">
      <c r="A36" s="6" t="s">
        <v>41</v>
      </c>
      <c r="B36" s="6" t="s">
        <v>67</v>
      </c>
      <c r="C36" s="6" t="str">
        <f t="shared" si="0"/>
        <v>Present</v>
      </c>
    </row>
    <row r="37" spans="1:3" ht="15" x14ac:dyDescent="0.3">
      <c r="A37" s="6" t="s">
        <v>9</v>
      </c>
      <c r="B37" s="6" t="s">
        <v>67</v>
      </c>
      <c r="C37" s="6" t="str">
        <f t="shared" si="0"/>
        <v>Present</v>
      </c>
    </row>
    <row r="38" spans="1:3" ht="15" x14ac:dyDescent="0.3">
      <c r="A38" s="6" t="s">
        <v>10</v>
      </c>
      <c r="B38" s="6" t="s">
        <v>67</v>
      </c>
      <c r="C38" s="6" t="str">
        <f t="shared" si="0"/>
        <v>Present</v>
      </c>
    </row>
    <row r="39" spans="1:3" ht="15" x14ac:dyDescent="0.3">
      <c r="A39" s="6" t="s">
        <v>11</v>
      </c>
      <c r="B39" s="6" t="s">
        <v>68</v>
      </c>
      <c r="C39" s="6" t="str">
        <f t="shared" si="0"/>
        <v>Absent</v>
      </c>
    </row>
    <row r="40" spans="1:3" ht="15" x14ac:dyDescent="0.3">
      <c r="A40" s="6" t="s">
        <v>12</v>
      </c>
      <c r="B40" s="6" t="s">
        <v>67</v>
      </c>
      <c r="C40" s="6" t="str">
        <f t="shared" si="0"/>
        <v>Present</v>
      </c>
    </row>
    <row r="41" spans="1:3" ht="15" x14ac:dyDescent="0.3">
      <c r="A41" s="6" t="s">
        <v>13</v>
      </c>
      <c r="B41" s="6" t="s">
        <v>68</v>
      </c>
      <c r="C41" s="6" t="str">
        <f t="shared" si="0"/>
        <v>Absent</v>
      </c>
    </row>
    <row r="42" spans="1:3" ht="15" x14ac:dyDescent="0.3">
      <c r="A42" s="6" t="s">
        <v>14</v>
      </c>
      <c r="B42" s="6" t="s">
        <v>67</v>
      </c>
      <c r="C42" s="6" t="str">
        <f t="shared" si="0"/>
        <v>Present</v>
      </c>
    </row>
    <row r="43" spans="1:3" ht="15" x14ac:dyDescent="0.3">
      <c r="A43" s="6" t="s">
        <v>15</v>
      </c>
      <c r="B43" s="6" t="s">
        <v>68</v>
      </c>
      <c r="C43" s="6" t="str">
        <f t="shared" si="0"/>
        <v>Absent</v>
      </c>
    </row>
    <row r="44" spans="1:3" ht="15" x14ac:dyDescent="0.3">
      <c r="A44" s="6" t="s">
        <v>16</v>
      </c>
      <c r="B44" s="6" t="s">
        <v>68</v>
      </c>
      <c r="C44" s="6" t="str">
        <f t="shared" si="0"/>
        <v>Absent</v>
      </c>
    </row>
    <row r="45" spans="1:3" ht="15" x14ac:dyDescent="0.3">
      <c r="A45" s="6" t="s">
        <v>17</v>
      </c>
      <c r="B45" s="6" t="s">
        <v>68</v>
      </c>
      <c r="C45" s="6" t="str">
        <f t="shared" si="0"/>
        <v>Absent</v>
      </c>
    </row>
  </sheetData>
  <mergeCells count="1">
    <mergeCell ref="E2:G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61C13-AF2F-4AEE-B081-8B43F44B5B8A}">
  <dimension ref="A1:H22"/>
  <sheetViews>
    <sheetView workbookViewId="0">
      <selection activeCell="A2" sqref="A2"/>
    </sheetView>
  </sheetViews>
  <sheetFormatPr defaultRowHeight="14.4" x14ac:dyDescent="0.3"/>
  <cols>
    <col min="1" max="2" width="13.5546875" bestFit="1" customWidth="1"/>
    <col min="3" max="3" width="8.88671875" bestFit="1" customWidth="1"/>
  </cols>
  <sheetData>
    <row r="1" spans="1:8" ht="20.399999999999999" x14ac:dyDescent="0.3">
      <c r="A1" s="16" t="s">
        <v>70</v>
      </c>
      <c r="B1" s="16" t="s">
        <v>71</v>
      </c>
      <c r="C1" s="16" t="s">
        <v>3</v>
      </c>
    </row>
    <row r="2" spans="1:8" ht="15" x14ac:dyDescent="0.3">
      <c r="A2" s="13">
        <v>10</v>
      </c>
      <c r="B2" s="13">
        <v>2</v>
      </c>
      <c r="C2" s="17">
        <f>IFERROR(A2/B2,"Invalid")</f>
        <v>5</v>
      </c>
      <c r="E2" s="7" t="s">
        <v>72</v>
      </c>
      <c r="F2" s="7"/>
      <c r="G2" s="7"/>
      <c r="H2" s="7"/>
    </row>
    <row r="3" spans="1:8" ht="15" x14ac:dyDescent="0.3">
      <c r="A3" s="13">
        <v>15</v>
      </c>
      <c r="B3" s="13">
        <v>0</v>
      </c>
      <c r="C3" s="17" t="str">
        <f t="shared" ref="C3:C22" si="0">IFERROR(A3/B3,"Invalid")</f>
        <v>Invalid</v>
      </c>
      <c r="E3" s="7"/>
      <c r="F3" s="7"/>
      <c r="G3" s="7"/>
      <c r="H3" s="7"/>
    </row>
    <row r="4" spans="1:8" ht="15" x14ac:dyDescent="0.3">
      <c r="A4" s="13">
        <v>20</v>
      </c>
      <c r="B4" s="13">
        <v>5</v>
      </c>
      <c r="C4" s="17">
        <f t="shared" si="0"/>
        <v>4</v>
      </c>
      <c r="E4" s="7"/>
      <c r="F4" s="7"/>
      <c r="G4" s="7"/>
      <c r="H4" s="7"/>
    </row>
    <row r="5" spans="1:8" ht="15" x14ac:dyDescent="0.3">
      <c r="A5" s="13">
        <v>8</v>
      </c>
      <c r="B5" s="13">
        <v>0</v>
      </c>
      <c r="C5" s="17" t="str">
        <f t="shared" si="0"/>
        <v>Invalid</v>
      </c>
    </row>
    <row r="6" spans="1:8" ht="15" x14ac:dyDescent="0.3">
      <c r="A6" s="1">
        <v>7</v>
      </c>
      <c r="B6" s="1">
        <v>1</v>
      </c>
      <c r="C6" s="17">
        <f t="shared" si="0"/>
        <v>7</v>
      </c>
    </row>
    <row r="7" spans="1:8" ht="15" x14ac:dyDescent="0.3">
      <c r="A7" s="1">
        <v>29</v>
      </c>
      <c r="B7" s="1">
        <v>3</v>
      </c>
      <c r="C7" s="17">
        <f t="shared" si="0"/>
        <v>9.6666666666666661</v>
      </c>
    </row>
    <row r="8" spans="1:8" ht="15" x14ac:dyDescent="0.3">
      <c r="A8" s="1">
        <v>12</v>
      </c>
      <c r="B8" s="1">
        <v>1</v>
      </c>
      <c r="C8" s="17">
        <f t="shared" si="0"/>
        <v>12</v>
      </c>
    </row>
    <row r="9" spans="1:8" ht="15" x14ac:dyDescent="0.3">
      <c r="A9" s="1">
        <v>11</v>
      </c>
      <c r="B9" s="1">
        <v>4</v>
      </c>
      <c r="C9" s="17">
        <f t="shared" si="0"/>
        <v>2.75</v>
      </c>
    </row>
    <row r="10" spans="1:8" ht="15" x14ac:dyDescent="0.3">
      <c r="A10" s="1">
        <v>13</v>
      </c>
      <c r="B10" s="1">
        <v>5</v>
      </c>
      <c r="C10" s="17">
        <f t="shared" si="0"/>
        <v>2.6</v>
      </c>
    </row>
    <row r="11" spans="1:8" ht="15" x14ac:dyDescent="0.3">
      <c r="A11" s="1">
        <v>25</v>
      </c>
      <c r="B11" s="1">
        <v>0</v>
      </c>
      <c r="C11" s="17" t="str">
        <f t="shared" si="0"/>
        <v>Invalid</v>
      </c>
    </row>
    <row r="12" spans="1:8" ht="15" x14ac:dyDescent="0.3">
      <c r="A12" s="1">
        <v>22</v>
      </c>
      <c r="B12" s="1">
        <v>3</v>
      </c>
      <c r="C12" s="17">
        <f t="shared" si="0"/>
        <v>7.333333333333333</v>
      </c>
    </row>
    <row r="13" spans="1:8" ht="15" x14ac:dyDescent="0.3">
      <c r="A13" s="1">
        <v>7</v>
      </c>
      <c r="B13" s="1">
        <v>4</v>
      </c>
      <c r="C13" s="17">
        <f t="shared" si="0"/>
        <v>1.75</v>
      </c>
    </row>
    <row r="14" spans="1:8" ht="15" x14ac:dyDescent="0.3">
      <c r="A14" s="1">
        <v>24</v>
      </c>
      <c r="B14" s="1">
        <v>2</v>
      </c>
      <c r="C14" s="17">
        <f t="shared" si="0"/>
        <v>12</v>
      </c>
    </row>
    <row r="15" spans="1:8" ht="15" x14ac:dyDescent="0.3">
      <c r="A15" s="1">
        <v>28</v>
      </c>
      <c r="B15" s="1">
        <v>3</v>
      </c>
      <c r="C15" s="17">
        <f t="shared" si="0"/>
        <v>9.3333333333333339</v>
      </c>
    </row>
    <row r="16" spans="1:8" ht="15" x14ac:dyDescent="0.3">
      <c r="A16" s="1">
        <v>20</v>
      </c>
      <c r="B16" s="1">
        <v>3</v>
      </c>
      <c r="C16" s="17">
        <f t="shared" si="0"/>
        <v>6.666666666666667</v>
      </c>
    </row>
    <row r="17" spans="1:3" ht="15" x14ac:dyDescent="0.3">
      <c r="A17" s="1">
        <v>28</v>
      </c>
      <c r="B17" s="1">
        <v>0</v>
      </c>
      <c r="C17" s="17" t="str">
        <f t="shared" si="0"/>
        <v>Invalid</v>
      </c>
    </row>
    <row r="18" spans="1:3" ht="15" x14ac:dyDescent="0.3">
      <c r="A18" s="1">
        <v>21</v>
      </c>
      <c r="B18" s="1">
        <v>3</v>
      </c>
      <c r="C18" s="17">
        <f t="shared" si="0"/>
        <v>7</v>
      </c>
    </row>
    <row r="19" spans="1:3" ht="15" x14ac:dyDescent="0.3">
      <c r="A19" s="1">
        <v>30</v>
      </c>
      <c r="B19" s="1">
        <v>0</v>
      </c>
      <c r="C19" s="17" t="str">
        <f t="shared" si="0"/>
        <v>Invalid</v>
      </c>
    </row>
    <row r="20" spans="1:3" ht="15" x14ac:dyDescent="0.3">
      <c r="A20" s="1">
        <v>17</v>
      </c>
      <c r="B20" s="1">
        <v>1</v>
      </c>
      <c r="C20" s="17">
        <f t="shared" si="0"/>
        <v>17</v>
      </c>
    </row>
    <row r="21" spans="1:3" ht="15" x14ac:dyDescent="0.3">
      <c r="A21" s="1">
        <v>17</v>
      </c>
      <c r="B21" s="1">
        <v>3</v>
      </c>
      <c r="C21" s="17">
        <f t="shared" si="0"/>
        <v>5.666666666666667</v>
      </c>
    </row>
    <row r="22" spans="1:3" ht="15" x14ac:dyDescent="0.3">
      <c r="A22" s="1">
        <v>25</v>
      </c>
      <c r="B22" s="1">
        <v>3</v>
      </c>
      <c r="C22" s="17">
        <f t="shared" si="0"/>
        <v>8.3333333333333339</v>
      </c>
    </row>
  </sheetData>
  <mergeCells count="1">
    <mergeCell ref="E2:H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FF034-2D1E-477D-A29A-AFE7BACAF6A8}">
  <dimension ref="A1:K49"/>
  <sheetViews>
    <sheetView tabSelected="1" workbookViewId="0"/>
  </sheetViews>
  <sheetFormatPr defaultRowHeight="14.4" x14ac:dyDescent="0.3"/>
  <cols>
    <col min="1" max="1" width="21.5546875" bestFit="1" customWidth="1"/>
    <col min="2" max="2" width="22.88671875" bestFit="1" customWidth="1"/>
    <col min="3" max="3" width="18.6640625" bestFit="1" customWidth="1"/>
    <col min="4" max="4" width="17.77734375" bestFit="1" customWidth="1"/>
  </cols>
  <sheetData>
    <row r="1" spans="1:11" ht="20.399999999999999" x14ac:dyDescent="0.3">
      <c r="A1" s="18" t="s">
        <v>30</v>
      </c>
      <c r="B1" s="18" t="s">
        <v>73</v>
      </c>
      <c r="C1" s="18" t="s">
        <v>50</v>
      </c>
      <c r="D1" s="18" t="s">
        <v>74</v>
      </c>
    </row>
    <row r="2" spans="1:11" ht="15" x14ac:dyDescent="0.3">
      <c r="A2" s="13" t="s">
        <v>75</v>
      </c>
      <c r="B2" s="13">
        <v>45</v>
      </c>
      <c r="C2" s="13">
        <v>92</v>
      </c>
      <c r="D2" s="13" t="str">
        <f>IF(AND(C2&gt;=90,B2&gt;=40),"Excellent",IF(C2&gt;=80,"Good","Need Improvement"))</f>
        <v>Excellent</v>
      </c>
      <c r="G2" s="7" t="s">
        <v>78</v>
      </c>
      <c r="H2" s="7"/>
      <c r="I2" s="7"/>
      <c r="J2" s="7"/>
      <c r="K2" s="7"/>
    </row>
    <row r="3" spans="1:11" ht="15" x14ac:dyDescent="0.3">
      <c r="A3" s="13" t="s">
        <v>76</v>
      </c>
      <c r="B3" s="13">
        <v>38</v>
      </c>
      <c r="C3" s="13">
        <v>85</v>
      </c>
      <c r="D3" s="13" t="str">
        <f t="shared" ref="D3:D49" si="0">IF(AND(C3&gt;=90,B3&gt;=40),"Excellent",IF(C3&gt;=80,"Good","Need Improvement"))</f>
        <v>Good</v>
      </c>
      <c r="G3" s="7"/>
      <c r="H3" s="7"/>
      <c r="I3" s="7"/>
      <c r="J3" s="7"/>
      <c r="K3" s="7"/>
    </row>
    <row r="4" spans="1:11" ht="15" x14ac:dyDescent="0.3">
      <c r="A4" s="13" t="s">
        <v>77</v>
      </c>
      <c r="B4" s="13">
        <v>50</v>
      </c>
      <c r="C4" s="13">
        <v>95</v>
      </c>
      <c r="D4" s="13" t="str">
        <f t="shared" si="0"/>
        <v>Excellent</v>
      </c>
      <c r="G4" s="7"/>
      <c r="H4" s="7"/>
      <c r="I4" s="7"/>
      <c r="J4" s="7"/>
      <c r="K4" s="7"/>
    </row>
    <row r="5" spans="1:11" ht="15" x14ac:dyDescent="0.3">
      <c r="A5" s="13" t="s">
        <v>17</v>
      </c>
      <c r="B5" s="13">
        <v>30</v>
      </c>
      <c r="C5" s="13">
        <v>70</v>
      </c>
      <c r="D5" s="13" t="str">
        <f t="shared" si="0"/>
        <v>Need Improvement</v>
      </c>
      <c r="G5" s="7"/>
      <c r="H5" s="7"/>
      <c r="I5" s="7"/>
      <c r="J5" s="7"/>
      <c r="K5" s="7"/>
    </row>
    <row r="6" spans="1:11" ht="15" x14ac:dyDescent="0.3">
      <c r="A6" s="13" t="s">
        <v>4</v>
      </c>
      <c r="B6" s="13">
        <v>68</v>
      </c>
      <c r="C6" s="13">
        <v>100</v>
      </c>
      <c r="D6" s="13" t="str">
        <f t="shared" si="0"/>
        <v>Excellent</v>
      </c>
      <c r="G6" s="7"/>
      <c r="H6" s="7"/>
      <c r="I6" s="7"/>
      <c r="J6" s="7"/>
      <c r="K6" s="7"/>
    </row>
    <row r="7" spans="1:11" ht="15" x14ac:dyDescent="0.3">
      <c r="A7" s="13" t="s">
        <v>5</v>
      </c>
      <c r="B7" s="13">
        <v>44</v>
      </c>
      <c r="C7" s="13">
        <v>94</v>
      </c>
      <c r="D7" s="13" t="str">
        <f t="shared" si="0"/>
        <v>Excellent</v>
      </c>
      <c r="G7" s="7"/>
      <c r="H7" s="7"/>
      <c r="I7" s="7"/>
      <c r="J7" s="7"/>
      <c r="K7" s="7"/>
    </row>
    <row r="8" spans="1:11" ht="15" x14ac:dyDescent="0.3">
      <c r="A8" s="13" t="s">
        <v>6</v>
      </c>
      <c r="B8" s="13">
        <v>70</v>
      </c>
      <c r="C8" s="13">
        <v>92</v>
      </c>
      <c r="D8" s="13" t="str">
        <f t="shared" si="0"/>
        <v>Excellent</v>
      </c>
      <c r="G8" s="7"/>
      <c r="H8" s="7"/>
      <c r="I8" s="7"/>
      <c r="J8" s="7"/>
      <c r="K8" s="7"/>
    </row>
    <row r="9" spans="1:11" ht="15" x14ac:dyDescent="0.3">
      <c r="A9" s="13" t="s">
        <v>7</v>
      </c>
      <c r="B9" s="13">
        <v>23</v>
      </c>
      <c r="C9" s="13">
        <v>91</v>
      </c>
      <c r="D9" s="13" t="str">
        <f t="shared" si="0"/>
        <v>Good</v>
      </c>
      <c r="G9" s="7"/>
      <c r="H9" s="7"/>
      <c r="I9" s="7"/>
      <c r="J9" s="7"/>
      <c r="K9" s="7"/>
    </row>
    <row r="10" spans="1:11" ht="15" x14ac:dyDescent="0.3">
      <c r="A10" s="13" t="s">
        <v>33</v>
      </c>
      <c r="B10" s="13">
        <v>31</v>
      </c>
      <c r="C10" s="13">
        <v>54</v>
      </c>
      <c r="D10" s="13" t="str">
        <f t="shared" si="0"/>
        <v>Need Improvement</v>
      </c>
    </row>
    <row r="11" spans="1:11" ht="15" x14ac:dyDescent="0.3">
      <c r="A11" s="13" t="s">
        <v>34</v>
      </c>
      <c r="B11" s="13">
        <v>64</v>
      </c>
      <c r="C11" s="13">
        <v>34</v>
      </c>
      <c r="D11" s="13" t="str">
        <f t="shared" si="0"/>
        <v>Need Improvement</v>
      </c>
    </row>
    <row r="12" spans="1:11" ht="15" x14ac:dyDescent="0.3">
      <c r="A12" s="13" t="s">
        <v>35</v>
      </c>
      <c r="B12" s="13">
        <v>66</v>
      </c>
      <c r="C12" s="13">
        <v>85</v>
      </c>
      <c r="D12" s="13" t="str">
        <f t="shared" si="0"/>
        <v>Good</v>
      </c>
    </row>
    <row r="13" spans="1:11" ht="15" x14ac:dyDescent="0.3">
      <c r="A13" s="13" t="s">
        <v>36</v>
      </c>
      <c r="B13" s="13">
        <v>22</v>
      </c>
      <c r="C13" s="13">
        <v>98</v>
      </c>
      <c r="D13" s="13" t="str">
        <f t="shared" si="0"/>
        <v>Good</v>
      </c>
    </row>
    <row r="14" spans="1:11" ht="15" x14ac:dyDescent="0.3">
      <c r="A14" s="13" t="s">
        <v>9</v>
      </c>
      <c r="B14" s="13">
        <v>66</v>
      </c>
      <c r="C14" s="13">
        <v>20</v>
      </c>
      <c r="D14" s="13" t="str">
        <f t="shared" si="0"/>
        <v>Need Improvement</v>
      </c>
    </row>
    <row r="15" spans="1:11" ht="15" x14ac:dyDescent="0.3">
      <c r="A15" s="13" t="s">
        <v>59</v>
      </c>
      <c r="B15" s="13">
        <v>50</v>
      </c>
      <c r="C15" s="13">
        <v>57</v>
      </c>
      <c r="D15" s="13" t="str">
        <f t="shared" si="0"/>
        <v>Need Improvement</v>
      </c>
    </row>
    <row r="16" spans="1:11" ht="15" x14ac:dyDescent="0.3">
      <c r="A16" s="13" t="s">
        <v>6</v>
      </c>
      <c r="B16" s="13">
        <v>64</v>
      </c>
      <c r="C16" s="13">
        <v>100</v>
      </c>
      <c r="D16" s="13" t="str">
        <f t="shared" si="0"/>
        <v>Excellent</v>
      </c>
    </row>
    <row r="17" spans="1:4" ht="15" x14ac:dyDescent="0.3">
      <c r="A17" s="13" t="s">
        <v>12</v>
      </c>
      <c r="B17" s="13">
        <v>38</v>
      </c>
      <c r="C17" s="13">
        <v>50</v>
      </c>
      <c r="D17" s="13" t="str">
        <f t="shared" si="0"/>
        <v>Need Improvement</v>
      </c>
    </row>
    <row r="18" spans="1:4" ht="15" x14ac:dyDescent="0.3">
      <c r="A18" s="13" t="s">
        <v>4</v>
      </c>
      <c r="B18" s="13">
        <v>23</v>
      </c>
      <c r="C18" s="13">
        <v>72</v>
      </c>
      <c r="D18" s="13" t="str">
        <f t="shared" si="0"/>
        <v>Need Improvement</v>
      </c>
    </row>
    <row r="19" spans="1:4" ht="15" x14ac:dyDescent="0.3">
      <c r="A19" s="13" t="s">
        <v>5</v>
      </c>
      <c r="B19" s="13">
        <v>39</v>
      </c>
      <c r="C19" s="13">
        <v>29</v>
      </c>
      <c r="D19" s="13" t="str">
        <f t="shared" si="0"/>
        <v>Need Improvement</v>
      </c>
    </row>
    <row r="20" spans="1:4" ht="15" x14ac:dyDescent="0.3">
      <c r="A20" s="13" t="s">
        <v>6</v>
      </c>
      <c r="B20" s="13">
        <v>31</v>
      </c>
      <c r="C20" s="13">
        <v>81</v>
      </c>
      <c r="D20" s="13" t="str">
        <f t="shared" si="0"/>
        <v>Good</v>
      </c>
    </row>
    <row r="21" spans="1:4" ht="15" x14ac:dyDescent="0.3">
      <c r="A21" s="13" t="s">
        <v>7</v>
      </c>
      <c r="B21" s="13">
        <v>40</v>
      </c>
      <c r="C21" s="13">
        <v>67</v>
      </c>
      <c r="D21" s="13" t="str">
        <f t="shared" si="0"/>
        <v>Need Improvement</v>
      </c>
    </row>
    <row r="22" spans="1:4" ht="15" x14ac:dyDescent="0.3">
      <c r="A22" s="13" t="s">
        <v>33</v>
      </c>
      <c r="B22" s="13">
        <v>34</v>
      </c>
      <c r="C22" s="13">
        <v>54</v>
      </c>
      <c r="D22" s="13" t="str">
        <f t="shared" si="0"/>
        <v>Need Improvement</v>
      </c>
    </row>
    <row r="23" spans="1:4" ht="15" x14ac:dyDescent="0.3">
      <c r="A23" s="13" t="s">
        <v>34</v>
      </c>
      <c r="B23" s="13">
        <v>26</v>
      </c>
      <c r="C23" s="13">
        <v>85</v>
      </c>
      <c r="D23" s="13" t="str">
        <f t="shared" si="0"/>
        <v>Good</v>
      </c>
    </row>
    <row r="24" spans="1:4" ht="15" x14ac:dyDescent="0.3">
      <c r="A24" s="13" t="s">
        <v>35</v>
      </c>
      <c r="B24" s="13">
        <v>20</v>
      </c>
      <c r="C24" s="13">
        <v>60</v>
      </c>
      <c r="D24" s="13" t="str">
        <f t="shared" si="0"/>
        <v>Need Improvement</v>
      </c>
    </row>
    <row r="25" spans="1:4" ht="15" x14ac:dyDescent="0.3">
      <c r="A25" s="13" t="s">
        <v>36</v>
      </c>
      <c r="B25" s="13">
        <v>56</v>
      </c>
      <c r="C25" s="13">
        <v>98</v>
      </c>
      <c r="D25" s="13" t="str">
        <f t="shared" si="0"/>
        <v>Excellent</v>
      </c>
    </row>
    <row r="26" spans="1:4" ht="15" x14ac:dyDescent="0.3">
      <c r="A26" s="13" t="s">
        <v>4</v>
      </c>
      <c r="B26" s="13">
        <v>53</v>
      </c>
      <c r="C26" s="13">
        <v>99</v>
      </c>
      <c r="D26" s="13" t="str">
        <f t="shared" si="0"/>
        <v>Excellent</v>
      </c>
    </row>
    <row r="27" spans="1:4" ht="15" x14ac:dyDescent="0.3">
      <c r="A27" s="13" t="s">
        <v>5</v>
      </c>
      <c r="B27" s="13">
        <v>23</v>
      </c>
      <c r="C27" s="13">
        <v>56</v>
      </c>
      <c r="D27" s="13" t="str">
        <f t="shared" si="0"/>
        <v>Need Improvement</v>
      </c>
    </row>
    <row r="28" spans="1:4" ht="15" x14ac:dyDescent="0.3">
      <c r="A28" s="13" t="s">
        <v>6</v>
      </c>
      <c r="B28" s="13">
        <v>21</v>
      </c>
      <c r="C28" s="13">
        <v>76</v>
      </c>
      <c r="D28" s="13" t="str">
        <f t="shared" si="0"/>
        <v>Need Improvement</v>
      </c>
    </row>
    <row r="29" spans="1:4" ht="15" x14ac:dyDescent="0.3">
      <c r="A29" s="13" t="s">
        <v>7</v>
      </c>
      <c r="B29" s="13">
        <v>67</v>
      </c>
      <c r="C29" s="13">
        <v>36</v>
      </c>
      <c r="D29" s="13" t="str">
        <f t="shared" si="0"/>
        <v>Need Improvement</v>
      </c>
    </row>
    <row r="30" spans="1:4" ht="15" x14ac:dyDescent="0.3">
      <c r="A30" s="13" t="s">
        <v>8</v>
      </c>
      <c r="B30" s="13">
        <v>39</v>
      </c>
      <c r="C30" s="13">
        <v>95</v>
      </c>
      <c r="D30" s="13" t="str">
        <f t="shared" si="0"/>
        <v>Good</v>
      </c>
    </row>
    <row r="31" spans="1:4" ht="15" x14ac:dyDescent="0.3">
      <c r="A31" s="13" t="s">
        <v>33</v>
      </c>
      <c r="B31" s="13">
        <v>30</v>
      </c>
      <c r="C31" s="13">
        <v>26</v>
      </c>
      <c r="D31" s="13" t="str">
        <f t="shared" si="0"/>
        <v>Need Improvement</v>
      </c>
    </row>
    <row r="32" spans="1:4" ht="15" x14ac:dyDescent="0.3">
      <c r="A32" s="13" t="s">
        <v>34</v>
      </c>
      <c r="B32" s="13">
        <v>47</v>
      </c>
      <c r="C32" s="13">
        <v>97</v>
      </c>
      <c r="D32" s="13" t="str">
        <f t="shared" si="0"/>
        <v>Excellent</v>
      </c>
    </row>
    <row r="33" spans="1:4" ht="15" x14ac:dyDescent="0.3">
      <c r="A33" s="13" t="s">
        <v>35</v>
      </c>
      <c r="B33" s="13">
        <v>47</v>
      </c>
      <c r="C33" s="13">
        <v>21</v>
      </c>
      <c r="D33" s="13" t="str">
        <f t="shared" si="0"/>
        <v>Need Improvement</v>
      </c>
    </row>
    <row r="34" spans="1:4" ht="15" x14ac:dyDescent="0.3">
      <c r="A34" s="13" t="s">
        <v>36</v>
      </c>
      <c r="B34" s="13">
        <v>28</v>
      </c>
      <c r="C34" s="13">
        <v>64</v>
      </c>
      <c r="D34" s="13" t="str">
        <f t="shared" si="0"/>
        <v>Need Improvement</v>
      </c>
    </row>
    <row r="35" spans="1:4" ht="15" x14ac:dyDescent="0.3">
      <c r="A35" s="13" t="s">
        <v>37</v>
      </c>
      <c r="B35" s="13">
        <v>58</v>
      </c>
      <c r="C35" s="13">
        <v>71</v>
      </c>
      <c r="D35" s="13" t="str">
        <f t="shared" si="0"/>
        <v>Need Improvement</v>
      </c>
    </row>
    <row r="36" spans="1:4" ht="15" x14ac:dyDescent="0.3">
      <c r="A36" s="13" t="s">
        <v>38</v>
      </c>
      <c r="B36" s="13">
        <v>37</v>
      </c>
      <c r="C36" s="13">
        <v>62</v>
      </c>
      <c r="D36" s="13" t="str">
        <f t="shared" si="0"/>
        <v>Need Improvement</v>
      </c>
    </row>
    <row r="37" spans="1:4" ht="15" x14ac:dyDescent="0.3">
      <c r="A37" s="13" t="s">
        <v>39</v>
      </c>
      <c r="B37" s="13">
        <v>41</v>
      </c>
      <c r="C37" s="13">
        <v>75</v>
      </c>
      <c r="D37" s="13" t="str">
        <f t="shared" si="0"/>
        <v>Need Improvement</v>
      </c>
    </row>
    <row r="38" spans="1:4" ht="15" x14ac:dyDescent="0.3">
      <c r="A38" s="13" t="s">
        <v>40</v>
      </c>
      <c r="B38" s="13">
        <v>51</v>
      </c>
      <c r="C38" s="13">
        <v>34</v>
      </c>
      <c r="D38" s="13" t="str">
        <f t="shared" si="0"/>
        <v>Need Improvement</v>
      </c>
    </row>
    <row r="39" spans="1:4" ht="15" x14ac:dyDescent="0.3">
      <c r="A39" s="13" t="s">
        <v>4</v>
      </c>
      <c r="B39" s="13">
        <v>41</v>
      </c>
      <c r="C39" s="13">
        <v>70</v>
      </c>
      <c r="D39" s="13" t="str">
        <f t="shared" si="0"/>
        <v>Need Improvement</v>
      </c>
    </row>
    <row r="40" spans="1:4" ht="15" x14ac:dyDescent="0.3">
      <c r="A40" s="13" t="s">
        <v>41</v>
      </c>
      <c r="B40" s="13">
        <v>67</v>
      </c>
      <c r="C40" s="13">
        <v>44</v>
      </c>
      <c r="D40" s="13" t="str">
        <f t="shared" si="0"/>
        <v>Need Improvement</v>
      </c>
    </row>
    <row r="41" spans="1:4" ht="15" x14ac:dyDescent="0.3">
      <c r="A41" s="13" t="s">
        <v>9</v>
      </c>
      <c r="B41" s="13">
        <v>32</v>
      </c>
      <c r="C41" s="13">
        <v>20</v>
      </c>
      <c r="D41" s="13" t="str">
        <f t="shared" si="0"/>
        <v>Need Improvement</v>
      </c>
    </row>
    <row r="42" spans="1:4" ht="15" x14ac:dyDescent="0.3">
      <c r="A42" s="13" t="s">
        <v>10</v>
      </c>
      <c r="B42" s="13">
        <v>43</v>
      </c>
      <c r="C42" s="13">
        <v>75</v>
      </c>
      <c r="D42" s="13" t="str">
        <f t="shared" si="0"/>
        <v>Need Improvement</v>
      </c>
    </row>
    <row r="43" spans="1:4" ht="15" x14ac:dyDescent="0.3">
      <c r="A43" s="13" t="s">
        <v>11</v>
      </c>
      <c r="B43" s="13">
        <v>33</v>
      </c>
      <c r="C43" s="13">
        <v>95</v>
      </c>
      <c r="D43" s="13" t="str">
        <f t="shared" si="0"/>
        <v>Good</v>
      </c>
    </row>
    <row r="44" spans="1:4" ht="15" x14ac:dyDescent="0.3">
      <c r="A44" s="13" t="s">
        <v>12</v>
      </c>
      <c r="B44" s="13">
        <v>63</v>
      </c>
      <c r="C44" s="13">
        <v>65</v>
      </c>
      <c r="D44" s="13" t="str">
        <f t="shared" si="0"/>
        <v>Need Improvement</v>
      </c>
    </row>
    <row r="45" spans="1:4" ht="15" x14ac:dyDescent="0.3">
      <c r="A45" s="13" t="s">
        <v>13</v>
      </c>
      <c r="B45" s="13">
        <v>68</v>
      </c>
      <c r="C45" s="13">
        <v>93</v>
      </c>
      <c r="D45" s="13" t="str">
        <f t="shared" si="0"/>
        <v>Excellent</v>
      </c>
    </row>
    <row r="46" spans="1:4" ht="15" x14ac:dyDescent="0.3">
      <c r="A46" s="13" t="s">
        <v>14</v>
      </c>
      <c r="B46" s="13">
        <v>30</v>
      </c>
      <c r="C46" s="13">
        <v>63</v>
      </c>
      <c r="D46" s="13" t="str">
        <f t="shared" si="0"/>
        <v>Need Improvement</v>
      </c>
    </row>
    <row r="47" spans="1:4" ht="15" x14ac:dyDescent="0.3">
      <c r="A47" s="13" t="s">
        <v>15</v>
      </c>
      <c r="B47" s="13">
        <v>66</v>
      </c>
      <c r="C47" s="13">
        <v>90</v>
      </c>
      <c r="D47" s="13" t="str">
        <f t="shared" si="0"/>
        <v>Excellent</v>
      </c>
    </row>
    <row r="48" spans="1:4" ht="15" x14ac:dyDescent="0.3">
      <c r="A48" s="13" t="s">
        <v>16</v>
      </c>
      <c r="B48" s="13">
        <v>27</v>
      </c>
      <c r="C48" s="13">
        <v>35</v>
      </c>
      <c r="D48" s="13" t="str">
        <f t="shared" si="0"/>
        <v>Need Improvement</v>
      </c>
    </row>
    <row r="49" spans="1:4" ht="15" x14ac:dyDescent="0.3">
      <c r="A49" s="13" t="s">
        <v>17</v>
      </c>
      <c r="B49" s="13">
        <v>30</v>
      </c>
      <c r="C49" s="13">
        <v>83</v>
      </c>
      <c r="D49" s="13" t="str">
        <f t="shared" si="0"/>
        <v>Good</v>
      </c>
    </row>
  </sheetData>
  <mergeCells count="1">
    <mergeCell ref="G2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 1</vt:lpstr>
      <vt:lpstr>Task 2</vt:lpstr>
      <vt:lpstr>Task 3</vt:lpstr>
      <vt:lpstr>Task 4</vt:lpstr>
      <vt:lpstr>Task 5</vt:lpstr>
      <vt:lpstr>Task 6</vt:lpstr>
      <vt:lpstr>Task 7</vt:lpstr>
      <vt:lpstr>Task 8</vt:lpstr>
      <vt:lpstr>Task 9</vt:lpstr>
      <vt:lpstr>Task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Shahista Shaikh</dc:creator>
  <cp:lastModifiedBy>Shahista Shaikh</cp:lastModifiedBy>
  <dcterms:created xsi:type="dcterms:W3CDTF">2026-01-25T05:47:28Z</dcterms:created>
  <dcterms:modified xsi:type="dcterms:W3CDTF">2026-01-25T07:01:07Z</dcterms:modified>
</cp:coreProperties>
</file>